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tner-integrations.egnyte.com/msoffice/wopi/files/8a5083fe-2881-41df-8bf2-066e4d70ff39/WOPIServiceId_TP_EGNYTE_PLUS/WOPIUserId_-/"/>
    </mc:Choice>
  </mc:AlternateContent>
  <xr:revisionPtr revIDLastSave="10" documentId="8_{7CC7A4F8-C558-4B17-8EA3-0725BDF6155C}" xr6:coauthVersionLast="47" xr6:coauthVersionMax="47" xr10:uidLastSave="{2281C4F6-54ED-41A6-8160-7478B17DD54A}"/>
  <bookViews>
    <workbookView xWindow="28680" yWindow="-120" windowWidth="29040" windowHeight="15720" activeTab="2" xr2:uid="{5FB28B18-455F-46BC-B989-FE20B4136EC5}"/>
  </bookViews>
  <sheets>
    <sheet name="Summary M1 Digital" sheetId="1" r:id="rId1"/>
    <sheet name="Summary - Magazine M1" sheetId="17" r:id="rId2"/>
    <sheet name="Revenue - Digital" sheetId="12" r:id="rId3"/>
    <sheet name="M1 Staff costs" sheetId="2" r:id="rId4"/>
    <sheet name="M1 Freelancers" sheetId="9" r:id="rId5"/>
    <sheet name="M2 Staff costs " sheetId="6" r:id="rId6"/>
    <sheet name="M2 Freelancers" sheetId="10" r:id="rId7"/>
    <sheet name="M3 Staff costs" sheetId="7" r:id="rId8"/>
    <sheet name="M3 Freelancers" sheetId="11" r:id="rId9"/>
    <sheet name="OH" sheetId="4" r:id="rId10"/>
    <sheet name="OH Freelancer model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4" i="1" l="1"/>
  <c r="B82" i="1"/>
  <c r="B81" i="1"/>
  <c r="B80" i="1"/>
  <c r="B15" i="1"/>
  <c r="B14" i="1"/>
  <c r="C5" i="9"/>
  <c r="E45" i="17"/>
  <c r="D42" i="17"/>
  <c r="M39" i="17"/>
  <c r="L39" i="17"/>
  <c r="K39" i="17"/>
  <c r="J39" i="17"/>
  <c r="I39" i="17"/>
  <c r="H39" i="17"/>
  <c r="G39" i="17"/>
  <c r="F39" i="17"/>
  <c r="E39" i="17"/>
  <c r="D39" i="17"/>
  <c r="M38" i="17"/>
  <c r="L38" i="17"/>
  <c r="K38" i="17"/>
  <c r="J38" i="17"/>
  <c r="I38" i="17"/>
  <c r="H38" i="17"/>
  <c r="G38" i="17"/>
  <c r="F38" i="17"/>
  <c r="E38" i="17"/>
  <c r="D38" i="17"/>
  <c r="M28" i="17"/>
  <c r="M29" i="17" s="1"/>
  <c r="L28" i="17"/>
  <c r="L29" i="17" s="1"/>
  <c r="K28" i="17"/>
  <c r="K29" i="17" s="1"/>
  <c r="J28" i="17"/>
  <c r="J29" i="17" s="1"/>
  <c r="I28" i="17"/>
  <c r="I29" i="17" s="1"/>
  <c r="H28" i="17"/>
  <c r="H29" i="17" s="1"/>
  <c r="G28" i="17"/>
  <c r="G29" i="17" s="1"/>
  <c r="F28" i="17"/>
  <c r="F29" i="17" s="1"/>
  <c r="E28" i="17"/>
  <c r="E29" i="17" s="1"/>
  <c r="D28" i="17"/>
  <c r="D29" i="17" s="1"/>
  <c r="M10" i="17"/>
  <c r="L10" i="17"/>
  <c r="K10" i="17"/>
  <c r="J10" i="17"/>
  <c r="I10" i="17"/>
  <c r="H10" i="17"/>
  <c r="G10" i="17"/>
  <c r="F10" i="17"/>
  <c r="E10" i="17"/>
  <c r="M11" i="17"/>
  <c r="L11" i="17"/>
  <c r="K11" i="17"/>
  <c r="J11" i="17"/>
  <c r="I11" i="17"/>
  <c r="H11" i="17"/>
  <c r="G11" i="17"/>
  <c r="F11" i="17"/>
  <c r="E11" i="17"/>
  <c r="D22" i="17"/>
  <c r="N39" i="4"/>
  <c r="M39" i="4"/>
  <c r="L39" i="4"/>
  <c r="K39" i="4"/>
  <c r="J39" i="4"/>
  <c r="I39" i="4"/>
  <c r="H39" i="4"/>
  <c r="G39" i="4"/>
  <c r="F39" i="4"/>
  <c r="E39" i="4"/>
  <c r="O9" i="4"/>
  <c r="N9" i="4"/>
  <c r="M9" i="4"/>
  <c r="L9" i="4"/>
  <c r="K9" i="4"/>
  <c r="J9" i="4"/>
  <c r="I9" i="4"/>
  <c r="H9" i="4"/>
  <c r="G9" i="4"/>
  <c r="F9" i="4"/>
  <c r="E9" i="4"/>
  <c r="E18" i="4"/>
  <c r="E27" i="4"/>
  <c r="E36" i="4"/>
  <c r="K67" i="1"/>
  <c r="J67" i="1"/>
  <c r="I67" i="1"/>
  <c r="H67" i="1"/>
  <c r="G67" i="1"/>
  <c r="F67" i="1"/>
  <c r="E67" i="1"/>
  <c r="D67" i="1"/>
  <c r="C67" i="1"/>
  <c r="B67" i="1"/>
  <c r="K58" i="1"/>
  <c r="J58" i="1"/>
  <c r="I58" i="1"/>
  <c r="H58" i="1"/>
  <c r="G58" i="1"/>
  <c r="F58" i="1"/>
  <c r="E58" i="1"/>
  <c r="D58" i="1"/>
  <c r="C58" i="1"/>
  <c r="B58" i="1"/>
  <c r="K49" i="1"/>
  <c r="J49" i="1"/>
  <c r="I49" i="1"/>
  <c r="H49" i="1"/>
  <c r="G49" i="1"/>
  <c r="F49" i="1"/>
  <c r="E49" i="1"/>
  <c r="D49" i="1"/>
  <c r="C49" i="1"/>
  <c r="B49" i="1"/>
  <c r="K40" i="1"/>
  <c r="J40" i="1"/>
  <c r="I40" i="1"/>
  <c r="H40" i="1"/>
  <c r="G40" i="1"/>
  <c r="F40" i="1"/>
  <c r="E40" i="1"/>
  <c r="D40" i="1"/>
  <c r="C40" i="1"/>
  <c r="B40" i="1"/>
  <c r="K31" i="1"/>
  <c r="J31" i="1"/>
  <c r="I31" i="1"/>
  <c r="H31" i="1"/>
  <c r="G31" i="1"/>
  <c r="F31" i="1"/>
  <c r="E31" i="1"/>
  <c r="D31" i="1"/>
  <c r="C31" i="1"/>
  <c r="B31" i="1"/>
  <c r="K14" i="1"/>
  <c r="J14" i="1"/>
  <c r="I14" i="1"/>
  <c r="H14" i="1"/>
  <c r="G14" i="1"/>
  <c r="F14" i="1"/>
  <c r="E14" i="1"/>
  <c r="D14" i="1"/>
  <c r="C14" i="1"/>
  <c r="K73" i="1"/>
  <c r="J73" i="1"/>
  <c r="I73" i="1"/>
  <c r="H73" i="1"/>
  <c r="G73" i="1"/>
  <c r="F73" i="1"/>
  <c r="E73" i="1"/>
  <c r="D73" i="1"/>
  <c r="C73" i="1"/>
  <c r="B73" i="1"/>
  <c r="C13" i="17"/>
  <c r="C22" i="17" s="1"/>
  <c r="B13" i="17"/>
  <c r="B22" i="17" s="1"/>
  <c r="K65" i="1"/>
  <c r="J65" i="1"/>
  <c r="I65" i="1"/>
  <c r="H65" i="1"/>
  <c r="G65" i="1"/>
  <c r="F65" i="1"/>
  <c r="E65" i="1"/>
  <c r="D65" i="1"/>
  <c r="C65" i="1"/>
  <c r="B65" i="1"/>
  <c r="C64" i="1"/>
  <c r="C66" i="1" s="1"/>
  <c r="D64" i="1"/>
  <c r="D66" i="1" s="1"/>
  <c r="E64" i="1"/>
  <c r="E66" i="1" s="1"/>
  <c r="F64" i="1"/>
  <c r="G64" i="1"/>
  <c r="H64" i="1"/>
  <c r="I64" i="1"/>
  <c r="J64" i="1"/>
  <c r="K64" i="1"/>
  <c r="B64" i="1"/>
  <c r="K56" i="1"/>
  <c r="J56" i="1"/>
  <c r="I56" i="1"/>
  <c r="H56" i="1"/>
  <c r="G56" i="1"/>
  <c r="F56" i="1"/>
  <c r="E56" i="1"/>
  <c r="D56" i="1"/>
  <c r="C56" i="1"/>
  <c r="B56" i="1"/>
  <c r="C55" i="1"/>
  <c r="D55" i="1"/>
  <c r="E55" i="1"/>
  <c r="F55" i="1"/>
  <c r="G55" i="1"/>
  <c r="H55" i="1"/>
  <c r="I55" i="1"/>
  <c r="J55" i="1"/>
  <c r="K55" i="1"/>
  <c r="B55" i="1"/>
  <c r="K47" i="1"/>
  <c r="J47" i="1"/>
  <c r="I47" i="1"/>
  <c r="H47" i="1"/>
  <c r="G47" i="1"/>
  <c r="F47" i="1"/>
  <c r="E47" i="1"/>
  <c r="D47" i="1"/>
  <c r="C47" i="1"/>
  <c r="B47" i="1"/>
  <c r="K46" i="1"/>
  <c r="J46" i="1"/>
  <c r="I46" i="1"/>
  <c r="H46" i="1"/>
  <c r="G46" i="1"/>
  <c r="F46" i="1"/>
  <c r="E46" i="1"/>
  <c r="D46" i="1"/>
  <c r="C46" i="1"/>
  <c r="B46" i="1"/>
  <c r="K45" i="1"/>
  <c r="J45" i="1"/>
  <c r="I45" i="1"/>
  <c r="H45" i="1"/>
  <c r="G45" i="1"/>
  <c r="F45" i="1"/>
  <c r="E45" i="1"/>
  <c r="D45" i="1"/>
  <c r="C45" i="1"/>
  <c r="B45" i="1"/>
  <c r="K38" i="1"/>
  <c r="J38" i="1"/>
  <c r="I38" i="1"/>
  <c r="H38" i="1"/>
  <c r="G38" i="1"/>
  <c r="F38" i="1"/>
  <c r="E38" i="1"/>
  <c r="D38" i="1"/>
  <c r="C38" i="1"/>
  <c r="B38" i="1"/>
  <c r="K37" i="1"/>
  <c r="J37" i="1"/>
  <c r="I37" i="1"/>
  <c r="H37" i="1"/>
  <c r="G37" i="1"/>
  <c r="F37" i="1"/>
  <c r="E37" i="1"/>
  <c r="D37" i="1"/>
  <c r="C37" i="1"/>
  <c r="B37" i="1"/>
  <c r="K36" i="1"/>
  <c r="J36" i="1"/>
  <c r="I36" i="1"/>
  <c r="H36" i="1"/>
  <c r="G36" i="1"/>
  <c r="F36" i="1"/>
  <c r="E36" i="1"/>
  <c r="D36" i="1"/>
  <c r="C36" i="1"/>
  <c r="B36" i="1"/>
  <c r="R76" i="2"/>
  <c r="Q76" i="2"/>
  <c r="P76" i="2"/>
  <c r="O76" i="2"/>
  <c r="N76" i="2"/>
  <c r="M76" i="2"/>
  <c r="L76" i="2"/>
  <c r="C28" i="1"/>
  <c r="D28" i="1"/>
  <c r="E28" i="1"/>
  <c r="F28" i="1"/>
  <c r="G28" i="1"/>
  <c r="H28" i="1"/>
  <c r="I28" i="1"/>
  <c r="J28" i="1"/>
  <c r="K28" i="1"/>
  <c r="B28" i="1"/>
  <c r="K27" i="1"/>
  <c r="J27" i="1"/>
  <c r="I27" i="1"/>
  <c r="H27" i="1"/>
  <c r="G27" i="1"/>
  <c r="F27" i="1"/>
  <c r="E27" i="1"/>
  <c r="D27" i="1"/>
  <c r="C27" i="1"/>
  <c r="B27" i="1"/>
  <c r="B3" i="9"/>
  <c r="K12" i="1"/>
  <c r="K11" i="1"/>
  <c r="J11" i="1"/>
  <c r="I11" i="1"/>
  <c r="H11" i="1"/>
  <c r="G11" i="1"/>
  <c r="F11" i="1"/>
  <c r="E11" i="1"/>
  <c r="D11" i="1"/>
  <c r="C11" i="1"/>
  <c r="B11" i="1"/>
  <c r="B10" i="1"/>
  <c r="C10" i="1"/>
  <c r="D10" i="1"/>
  <c r="E10" i="1"/>
  <c r="F10" i="1"/>
  <c r="G10" i="1"/>
  <c r="H10" i="1"/>
  <c r="I10" i="1"/>
  <c r="J10" i="1"/>
  <c r="K10" i="1"/>
  <c r="G15" i="2"/>
  <c r="H15" i="2"/>
  <c r="G16" i="2"/>
  <c r="H16" i="2"/>
  <c r="G17" i="2"/>
  <c r="H17" i="2"/>
  <c r="H26" i="2"/>
  <c r="G27" i="2"/>
  <c r="H27" i="2"/>
  <c r="G28" i="2"/>
  <c r="H28" i="2"/>
  <c r="G29" i="2"/>
  <c r="H29" i="2"/>
  <c r="G30" i="2"/>
  <c r="H30" i="2"/>
  <c r="G31" i="2"/>
  <c r="H31" i="2"/>
  <c r="G40" i="2"/>
  <c r="H40" i="2"/>
  <c r="G41" i="2"/>
  <c r="H41" i="2"/>
  <c r="G42" i="2"/>
  <c r="H42" i="2"/>
  <c r="G43" i="2"/>
  <c r="H43" i="2"/>
  <c r="G44" i="2"/>
  <c r="H44" i="2"/>
  <c r="H53" i="2"/>
  <c r="G54" i="2"/>
  <c r="H54" i="2"/>
  <c r="G55" i="2"/>
  <c r="H55" i="2"/>
  <c r="G56" i="2"/>
  <c r="H56" i="2"/>
  <c r="G57" i="2"/>
  <c r="H57" i="2"/>
  <c r="G61" i="2"/>
  <c r="H61" i="2"/>
  <c r="G62" i="2"/>
  <c r="H62" i="2"/>
  <c r="H66" i="2"/>
  <c r="G67" i="2"/>
  <c r="H67" i="2"/>
  <c r="G68" i="2"/>
  <c r="H68" i="2"/>
  <c r="G69" i="2"/>
  <c r="H69" i="2"/>
  <c r="G72" i="2"/>
  <c r="H72" i="2"/>
  <c r="G75" i="2"/>
  <c r="H75" i="2"/>
  <c r="G76" i="2"/>
  <c r="H76" i="2"/>
  <c r="G78" i="2"/>
  <c r="H78" i="2"/>
  <c r="G80" i="2"/>
  <c r="H80" i="2"/>
  <c r="G81" i="2"/>
  <c r="H81" i="2"/>
  <c r="G82" i="2"/>
  <c r="H82" i="2"/>
  <c r="G83" i="2"/>
  <c r="H83" i="2"/>
  <c r="M12" i="12"/>
  <c r="L12" i="12"/>
  <c r="K12" i="12"/>
  <c r="J12" i="12"/>
  <c r="I12" i="12"/>
  <c r="H12" i="12"/>
  <c r="G12" i="12"/>
  <c r="F12" i="12"/>
  <c r="E12" i="12"/>
  <c r="D12" i="12"/>
  <c r="C12" i="12"/>
  <c r="B12" i="12"/>
  <c r="D24" i="12"/>
  <c r="C24" i="12"/>
  <c r="B24" i="12"/>
  <c r="D18" i="12"/>
  <c r="M18" i="12"/>
  <c r="L18" i="12"/>
  <c r="K18" i="12"/>
  <c r="J18" i="12"/>
  <c r="I18" i="12"/>
  <c r="H18" i="12"/>
  <c r="G18" i="12"/>
  <c r="F18" i="12"/>
  <c r="E18" i="12"/>
  <c r="C18" i="12"/>
  <c r="C27" i="12" s="1"/>
  <c r="B18" i="12"/>
  <c r="B27" i="12" s="1"/>
  <c r="M22" i="12"/>
  <c r="M24" i="12" s="1"/>
  <c r="L22" i="12"/>
  <c r="L24" i="12" s="1"/>
  <c r="K22" i="12"/>
  <c r="K24" i="12" s="1"/>
  <c r="J22" i="12"/>
  <c r="J24" i="12" s="1"/>
  <c r="I22" i="12"/>
  <c r="I24" i="12" s="1"/>
  <c r="H22" i="12"/>
  <c r="H24" i="12" s="1"/>
  <c r="G22" i="12"/>
  <c r="G24" i="12" s="1"/>
  <c r="F22" i="12"/>
  <c r="F24" i="12" s="1"/>
  <c r="E22" i="12"/>
  <c r="E24" i="12" s="1"/>
  <c r="D6" i="12"/>
  <c r="C6" i="12"/>
  <c r="B6" i="12"/>
  <c r="M4" i="12"/>
  <c r="L4" i="12"/>
  <c r="K4" i="12"/>
  <c r="J4" i="12"/>
  <c r="I4" i="12"/>
  <c r="H4" i="12"/>
  <c r="G4" i="12"/>
  <c r="G6" i="12" s="1"/>
  <c r="G27" i="12" s="1"/>
  <c r="F4" i="12"/>
  <c r="F6" i="12" s="1"/>
  <c r="F27" i="12" s="1"/>
  <c r="E4" i="12"/>
  <c r="E6" i="12" s="1"/>
  <c r="E27" i="12" s="1"/>
  <c r="M5" i="12"/>
  <c r="L5" i="12"/>
  <c r="K5" i="12"/>
  <c r="J5" i="12"/>
  <c r="I5" i="12"/>
  <c r="H5" i="12"/>
  <c r="G5" i="12"/>
  <c r="F5" i="12"/>
  <c r="E5" i="12"/>
  <c r="D5" i="12"/>
  <c r="B19" i="13"/>
  <c r="K23" i="13" s="1"/>
  <c r="S27" i="13"/>
  <c r="N26" i="13"/>
  <c r="M26" i="13"/>
  <c r="K26" i="13"/>
  <c r="I26" i="13"/>
  <c r="N25" i="13"/>
  <c r="M25" i="13"/>
  <c r="L25" i="13"/>
  <c r="K25" i="13"/>
  <c r="J25" i="13"/>
  <c r="I25" i="13"/>
  <c r="N24" i="13"/>
  <c r="M24" i="13"/>
  <c r="L24" i="13"/>
  <c r="K24" i="13"/>
  <c r="J24" i="13"/>
  <c r="I24" i="13"/>
  <c r="M23" i="13"/>
  <c r="L23" i="13"/>
  <c r="J23" i="13"/>
  <c r="I23" i="13"/>
  <c r="M22" i="13"/>
  <c r="K22" i="13"/>
  <c r="J22" i="13"/>
  <c r="I22" i="13"/>
  <c r="N21" i="13"/>
  <c r="M21" i="13"/>
  <c r="L21" i="13"/>
  <c r="K21" i="13"/>
  <c r="J21" i="13"/>
  <c r="I21" i="13"/>
  <c r="O21" i="13" s="1"/>
  <c r="Q25" i="13"/>
  <c r="S25" i="13"/>
  <c r="N35" i="13"/>
  <c r="M35" i="13"/>
  <c r="L35" i="13"/>
  <c r="K35" i="13"/>
  <c r="J35" i="13"/>
  <c r="I35" i="13"/>
  <c r="H35" i="13"/>
  <c r="G35" i="13"/>
  <c r="B35" i="13"/>
  <c r="F35" i="13" s="1"/>
  <c r="B34" i="13"/>
  <c r="N34" i="13" s="1"/>
  <c r="N33" i="13"/>
  <c r="M33" i="13"/>
  <c r="B33" i="13"/>
  <c r="L33" i="13" s="1"/>
  <c r="N32" i="13"/>
  <c r="M32" i="13"/>
  <c r="L32" i="13"/>
  <c r="K32" i="13"/>
  <c r="J32" i="13"/>
  <c r="I32" i="13"/>
  <c r="H32" i="13"/>
  <c r="G32" i="13"/>
  <c r="F32" i="13"/>
  <c r="E32" i="13"/>
  <c r="B32" i="13"/>
  <c r="D32" i="13" s="1"/>
  <c r="B31" i="13"/>
  <c r="M31" i="13" s="1"/>
  <c r="N30" i="13"/>
  <c r="M30" i="13"/>
  <c r="L30" i="13"/>
  <c r="K30" i="13"/>
  <c r="B30" i="13"/>
  <c r="J30" i="13" s="1"/>
  <c r="F27" i="13"/>
  <c r="E27" i="13"/>
  <c r="D27" i="13"/>
  <c r="C27" i="13"/>
  <c r="H26" i="13"/>
  <c r="G26" i="13"/>
  <c r="F26" i="13"/>
  <c r="E26" i="13"/>
  <c r="D26" i="13"/>
  <c r="C26" i="13"/>
  <c r="H25" i="13"/>
  <c r="H27" i="13" s="1"/>
  <c r="G25" i="13"/>
  <c r="F25" i="13"/>
  <c r="E25" i="13"/>
  <c r="D25" i="13"/>
  <c r="C25" i="13"/>
  <c r="H24" i="13"/>
  <c r="G24" i="13"/>
  <c r="F24" i="13"/>
  <c r="E24" i="13"/>
  <c r="D24" i="13"/>
  <c r="C24" i="13"/>
  <c r="H23" i="13"/>
  <c r="G23" i="13"/>
  <c r="F23" i="13"/>
  <c r="E23" i="13"/>
  <c r="D23" i="13"/>
  <c r="C23" i="13"/>
  <c r="H22" i="13"/>
  <c r="G22" i="13"/>
  <c r="F22" i="13"/>
  <c r="E22" i="13"/>
  <c r="D22" i="13"/>
  <c r="C22" i="13"/>
  <c r="H21" i="13"/>
  <c r="G21" i="13"/>
  <c r="F21" i="13"/>
  <c r="E21" i="13"/>
  <c r="D21" i="13"/>
  <c r="C21" i="13"/>
  <c r="I18" i="13"/>
  <c r="H18" i="13"/>
  <c r="G18" i="13"/>
  <c r="F18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O17" i="13" s="1"/>
  <c r="N16" i="13"/>
  <c r="M16" i="13"/>
  <c r="M18" i="13" s="1"/>
  <c r="L16" i="13"/>
  <c r="L18" i="13" s="1"/>
  <c r="K16" i="13"/>
  <c r="K18" i="13" s="1"/>
  <c r="J16" i="13"/>
  <c r="O16" i="13" s="1"/>
  <c r="I16" i="13"/>
  <c r="H16" i="13"/>
  <c r="G16" i="13"/>
  <c r="F16" i="13"/>
  <c r="E16" i="13"/>
  <c r="D16" i="13"/>
  <c r="C16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O15" i="13" s="1"/>
  <c r="N14" i="13"/>
  <c r="N18" i="13" s="1"/>
  <c r="M14" i="13"/>
  <c r="L14" i="13"/>
  <c r="K14" i="13"/>
  <c r="J14" i="13"/>
  <c r="I14" i="13"/>
  <c r="H14" i="13"/>
  <c r="G14" i="13"/>
  <c r="F14" i="13"/>
  <c r="E14" i="13"/>
  <c r="D14" i="13"/>
  <c r="C14" i="13"/>
  <c r="N13" i="13"/>
  <c r="M13" i="13"/>
  <c r="L13" i="13"/>
  <c r="K13" i="13"/>
  <c r="J13" i="13"/>
  <c r="I13" i="13"/>
  <c r="H13" i="13"/>
  <c r="G13" i="13"/>
  <c r="F13" i="13"/>
  <c r="E13" i="13"/>
  <c r="O13" i="13" s="1"/>
  <c r="D13" i="13"/>
  <c r="C13" i="13"/>
  <c r="N12" i="13"/>
  <c r="M12" i="13"/>
  <c r="L12" i="13"/>
  <c r="K12" i="13"/>
  <c r="J12" i="13"/>
  <c r="I12" i="13"/>
  <c r="H12" i="13"/>
  <c r="G12" i="13"/>
  <c r="F12" i="13"/>
  <c r="E12" i="13"/>
  <c r="E18" i="13" s="1"/>
  <c r="D12" i="13"/>
  <c r="D18" i="13" s="1"/>
  <c r="C12" i="13"/>
  <c r="C18" i="13" s="1"/>
  <c r="L9" i="13"/>
  <c r="K9" i="13"/>
  <c r="J9" i="13"/>
  <c r="I9" i="13"/>
  <c r="N8" i="13"/>
  <c r="M8" i="13"/>
  <c r="L8" i="13"/>
  <c r="K8" i="13"/>
  <c r="J8" i="13"/>
  <c r="I8" i="13"/>
  <c r="H8" i="13"/>
  <c r="G8" i="13"/>
  <c r="F8" i="13"/>
  <c r="E8" i="13"/>
  <c r="D8" i="13"/>
  <c r="C8" i="13"/>
  <c r="O8" i="13" s="1"/>
  <c r="N7" i="13"/>
  <c r="N9" i="13" s="1"/>
  <c r="M7" i="13"/>
  <c r="M9" i="13" s="1"/>
  <c r="L7" i="13"/>
  <c r="K7" i="13"/>
  <c r="J7" i="13"/>
  <c r="I7" i="13"/>
  <c r="H7" i="13"/>
  <c r="G7" i="13"/>
  <c r="F7" i="13"/>
  <c r="E7" i="13"/>
  <c r="D7" i="13"/>
  <c r="C7" i="13"/>
  <c r="N6" i="13"/>
  <c r="M6" i="13"/>
  <c r="L6" i="13"/>
  <c r="K6" i="13"/>
  <c r="J6" i="13"/>
  <c r="I6" i="13"/>
  <c r="H6" i="13"/>
  <c r="G6" i="13"/>
  <c r="F6" i="13"/>
  <c r="E6" i="13"/>
  <c r="D6" i="13"/>
  <c r="O6" i="13" s="1"/>
  <c r="C6" i="13"/>
  <c r="N5" i="13"/>
  <c r="M5" i="13"/>
  <c r="L5" i="13"/>
  <c r="K5" i="13"/>
  <c r="J5" i="13"/>
  <c r="I5" i="13"/>
  <c r="H5" i="13"/>
  <c r="H9" i="13" s="1"/>
  <c r="G5" i="13"/>
  <c r="G9" i="13" s="1"/>
  <c r="F5" i="13"/>
  <c r="F9" i="13" s="1"/>
  <c r="E5" i="13"/>
  <c r="E9" i="13" s="1"/>
  <c r="D5" i="13"/>
  <c r="D9" i="13" s="1"/>
  <c r="C5" i="13"/>
  <c r="C9" i="13" s="1"/>
  <c r="N4" i="13"/>
  <c r="M4" i="13"/>
  <c r="L4" i="13"/>
  <c r="K4" i="13"/>
  <c r="J4" i="13"/>
  <c r="I4" i="13"/>
  <c r="H4" i="13"/>
  <c r="O4" i="13" s="1"/>
  <c r="G4" i="13"/>
  <c r="F4" i="13"/>
  <c r="E4" i="13"/>
  <c r="D4" i="13"/>
  <c r="C4" i="13"/>
  <c r="B3" i="11"/>
  <c r="N8" i="11" s="1"/>
  <c r="H10" i="11"/>
  <c r="G10" i="11"/>
  <c r="F10" i="11"/>
  <c r="E10" i="11"/>
  <c r="D10" i="11"/>
  <c r="C10" i="11"/>
  <c r="B7" i="11"/>
  <c r="B6" i="11"/>
  <c r="K5" i="11"/>
  <c r="J5" i="11"/>
  <c r="B5" i="11"/>
  <c r="I5" i="11"/>
  <c r="B3" i="10"/>
  <c r="N7" i="10" s="1"/>
  <c r="B6" i="10"/>
  <c r="B5" i="10"/>
  <c r="B7" i="10"/>
  <c r="N9" i="9"/>
  <c r="M9" i="9"/>
  <c r="L9" i="9"/>
  <c r="K9" i="9"/>
  <c r="J9" i="9"/>
  <c r="I9" i="9"/>
  <c r="O9" i="9" s="1"/>
  <c r="H9" i="9"/>
  <c r="G9" i="9"/>
  <c r="F9" i="9"/>
  <c r="E9" i="9"/>
  <c r="D9" i="9"/>
  <c r="C9" i="9"/>
  <c r="N8" i="9"/>
  <c r="M8" i="9"/>
  <c r="L8" i="9"/>
  <c r="K8" i="9"/>
  <c r="J8" i="9"/>
  <c r="I8" i="9"/>
  <c r="H8" i="9"/>
  <c r="G8" i="9"/>
  <c r="F8" i="9"/>
  <c r="E8" i="9"/>
  <c r="D8" i="9"/>
  <c r="C8" i="9"/>
  <c r="O8" i="9" s="1"/>
  <c r="N7" i="9"/>
  <c r="M7" i="9"/>
  <c r="L7" i="9"/>
  <c r="K7" i="9"/>
  <c r="J7" i="9"/>
  <c r="I7" i="9"/>
  <c r="H7" i="9"/>
  <c r="G7" i="9"/>
  <c r="F7" i="9"/>
  <c r="E7" i="9"/>
  <c r="D7" i="9"/>
  <c r="C7" i="9"/>
  <c r="N6" i="9"/>
  <c r="M6" i="9"/>
  <c r="L6" i="9"/>
  <c r="K6" i="9"/>
  <c r="J6" i="9"/>
  <c r="I6" i="9"/>
  <c r="H6" i="9"/>
  <c r="G6" i="9"/>
  <c r="F6" i="9"/>
  <c r="E6" i="9"/>
  <c r="D6" i="9"/>
  <c r="C6" i="9"/>
  <c r="N5" i="9"/>
  <c r="M5" i="9"/>
  <c r="J12" i="1" s="1"/>
  <c r="L5" i="9"/>
  <c r="I12" i="1" s="1"/>
  <c r="K5" i="9"/>
  <c r="H12" i="1" s="1"/>
  <c r="J5" i="9"/>
  <c r="G12" i="1" s="1"/>
  <c r="I5" i="9"/>
  <c r="F12" i="1" s="1"/>
  <c r="H5" i="9"/>
  <c r="E12" i="1" s="1"/>
  <c r="G5" i="9"/>
  <c r="D12" i="1" s="1"/>
  <c r="F5" i="9"/>
  <c r="C12" i="1" s="1"/>
  <c r="E5" i="9"/>
  <c r="B12" i="1" s="1"/>
  <c r="D5" i="9"/>
  <c r="B9" i="9"/>
  <c r="B8" i="9"/>
  <c r="B7" i="9"/>
  <c r="N35" i="4"/>
  <c r="M35" i="4"/>
  <c r="L35" i="4"/>
  <c r="K35" i="4"/>
  <c r="J35" i="4"/>
  <c r="I35" i="4"/>
  <c r="H35" i="4"/>
  <c r="N34" i="4"/>
  <c r="M34" i="4"/>
  <c r="L34" i="4"/>
  <c r="K34" i="4"/>
  <c r="J34" i="4"/>
  <c r="I34" i="4"/>
  <c r="H34" i="4"/>
  <c r="N33" i="4"/>
  <c r="M33" i="4"/>
  <c r="L33" i="4"/>
  <c r="K33" i="4"/>
  <c r="J33" i="4"/>
  <c r="I33" i="4"/>
  <c r="H33" i="4"/>
  <c r="N32" i="4"/>
  <c r="M32" i="4"/>
  <c r="L32" i="4"/>
  <c r="K32" i="4"/>
  <c r="J32" i="4"/>
  <c r="I32" i="4"/>
  <c r="H32" i="4"/>
  <c r="N31" i="4"/>
  <c r="M31" i="4"/>
  <c r="L31" i="4"/>
  <c r="K31" i="4"/>
  <c r="J31" i="4"/>
  <c r="I31" i="4"/>
  <c r="H31" i="4"/>
  <c r="N30" i="4"/>
  <c r="M30" i="4"/>
  <c r="L30" i="4"/>
  <c r="K30" i="4"/>
  <c r="J30" i="4"/>
  <c r="I30" i="4"/>
  <c r="H30" i="4"/>
  <c r="G35" i="4"/>
  <c r="G34" i="4"/>
  <c r="G33" i="4"/>
  <c r="G32" i="4"/>
  <c r="G31" i="4"/>
  <c r="G30" i="4"/>
  <c r="B30" i="4"/>
  <c r="F35" i="4"/>
  <c r="E35" i="4"/>
  <c r="D35" i="4"/>
  <c r="C35" i="4"/>
  <c r="F34" i="4"/>
  <c r="E34" i="4"/>
  <c r="D34" i="4"/>
  <c r="C34" i="4"/>
  <c r="F33" i="4"/>
  <c r="E33" i="4"/>
  <c r="D33" i="4"/>
  <c r="C33" i="4"/>
  <c r="F32" i="4"/>
  <c r="E32" i="4"/>
  <c r="D32" i="4"/>
  <c r="C32" i="4"/>
  <c r="F31" i="4"/>
  <c r="E31" i="4"/>
  <c r="D31" i="4"/>
  <c r="C31" i="4"/>
  <c r="F30" i="4"/>
  <c r="E30" i="4"/>
  <c r="D30" i="4"/>
  <c r="B35" i="4"/>
  <c r="B34" i="4"/>
  <c r="B33" i="4"/>
  <c r="B32" i="4"/>
  <c r="B31" i="4"/>
  <c r="D21" i="4"/>
  <c r="E21" i="4"/>
  <c r="F21" i="4"/>
  <c r="G21" i="4"/>
  <c r="H21" i="4"/>
  <c r="I21" i="4"/>
  <c r="J21" i="4"/>
  <c r="K21" i="4"/>
  <c r="L21" i="4"/>
  <c r="M21" i="4"/>
  <c r="N21" i="4"/>
  <c r="D22" i="4"/>
  <c r="E22" i="4"/>
  <c r="F22" i="4"/>
  <c r="G22" i="4"/>
  <c r="H22" i="4"/>
  <c r="I22" i="4"/>
  <c r="J22" i="4"/>
  <c r="K22" i="4"/>
  <c r="L22" i="4"/>
  <c r="M22" i="4"/>
  <c r="N22" i="4"/>
  <c r="D23" i="4"/>
  <c r="E23" i="4"/>
  <c r="F23" i="4"/>
  <c r="G23" i="4"/>
  <c r="H23" i="4"/>
  <c r="I23" i="4"/>
  <c r="J23" i="4"/>
  <c r="K23" i="4"/>
  <c r="L23" i="4"/>
  <c r="M23" i="4"/>
  <c r="N23" i="4"/>
  <c r="D24" i="4"/>
  <c r="E24" i="4"/>
  <c r="F24" i="4"/>
  <c r="G24" i="4"/>
  <c r="H24" i="4"/>
  <c r="I24" i="4"/>
  <c r="J24" i="4"/>
  <c r="J27" i="4" s="1"/>
  <c r="K24" i="4"/>
  <c r="L24" i="4"/>
  <c r="M24" i="4"/>
  <c r="N24" i="4"/>
  <c r="D25" i="4"/>
  <c r="E25" i="4"/>
  <c r="F25" i="4"/>
  <c r="G25" i="4"/>
  <c r="H25" i="4"/>
  <c r="I25" i="4"/>
  <c r="J25" i="4"/>
  <c r="K25" i="4"/>
  <c r="L25" i="4"/>
  <c r="M25" i="4"/>
  <c r="N25" i="4"/>
  <c r="D26" i="4"/>
  <c r="O26" i="4" s="1"/>
  <c r="E26" i="4"/>
  <c r="F26" i="4"/>
  <c r="G26" i="4"/>
  <c r="H26" i="4"/>
  <c r="I26" i="4"/>
  <c r="J26" i="4"/>
  <c r="K26" i="4"/>
  <c r="L26" i="4"/>
  <c r="M26" i="4"/>
  <c r="N26" i="4"/>
  <c r="C26" i="4"/>
  <c r="C25" i="4"/>
  <c r="C24" i="4"/>
  <c r="C23" i="4"/>
  <c r="O23" i="4" s="1"/>
  <c r="C22" i="4"/>
  <c r="C21" i="4"/>
  <c r="O13" i="4"/>
  <c r="O14" i="4"/>
  <c r="O15" i="4"/>
  <c r="O16" i="4"/>
  <c r="D12" i="4"/>
  <c r="E12" i="4"/>
  <c r="F12" i="4"/>
  <c r="G12" i="4"/>
  <c r="H12" i="4"/>
  <c r="I12" i="4"/>
  <c r="J12" i="4"/>
  <c r="K12" i="4"/>
  <c r="L12" i="4"/>
  <c r="M12" i="4"/>
  <c r="N12" i="4"/>
  <c r="D13" i="4"/>
  <c r="E13" i="4"/>
  <c r="F13" i="4"/>
  <c r="G13" i="4"/>
  <c r="H13" i="4"/>
  <c r="I13" i="4"/>
  <c r="J13" i="4"/>
  <c r="K13" i="4"/>
  <c r="L13" i="4"/>
  <c r="M13" i="4"/>
  <c r="N13" i="4"/>
  <c r="D14" i="4"/>
  <c r="E14" i="4"/>
  <c r="F14" i="4"/>
  <c r="G14" i="4"/>
  <c r="H14" i="4"/>
  <c r="I14" i="4"/>
  <c r="J14" i="4"/>
  <c r="K14" i="4"/>
  <c r="L14" i="4"/>
  <c r="M14" i="4"/>
  <c r="N14" i="4"/>
  <c r="D15" i="4"/>
  <c r="E15" i="4"/>
  <c r="F15" i="4"/>
  <c r="G15" i="4"/>
  <c r="H15" i="4"/>
  <c r="I15" i="4"/>
  <c r="J15" i="4"/>
  <c r="K15" i="4"/>
  <c r="L15" i="4"/>
  <c r="M15" i="4"/>
  <c r="N15" i="4"/>
  <c r="D16" i="4"/>
  <c r="E16" i="4"/>
  <c r="F16" i="4"/>
  <c r="G16" i="4"/>
  <c r="H16" i="4"/>
  <c r="I16" i="4"/>
  <c r="J16" i="4"/>
  <c r="K16" i="4"/>
  <c r="L16" i="4"/>
  <c r="M16" i="4"/>
  <c r="N16" i="4"/>
  <c r="D17" i="4"/>
  <c r="E17" i="4"/>
  <c r="F17" i="4"/>
  <c r="G17" i="4"/>
  <c r="H17" i="4"/>
  <c r="I17" i="4"/>
  <c r="J17" i="4"/>
  <c r="K17" i="4"/>
  <c r="L17" i="4"/>
  <c r="M17" i="4"/>
  <c r="N17" i="4"/>
  <c r="C17" i="4"/>
  <c r="C16" i="4"/>
  <c r="C15" i="4"/>
  <c r="C14" i="4"/>
  <c r="C13" i="4"/>
  <c r="C12" i="4"/>
  <c r="N4" i="4"/>
  <c r="M4" i="4"/>
  <c r="L4" i="4"/>
  <c r="K4" i="4"/>
  <c r="J4" i="4"/>
  <c r="I4" i="4"/>
  <c r="H4" i="4"/>
  <c r="G4" i="4"/>
  <c r="F4" i="4"/>
  <c r="E4" i="4"/>
  <c r="D4" i="4"/>
  <c r="C4" i="4"/>
  <c r="G35" i="7"/>
  <c r="G62" i="7"/>
  <c r="J94" i="7"/>
  <c r="J93" i="7"/>
  <c r="I93" i="6"/>
  <c r="L88" i="6"/>
  <c r="K83" i="7"/>
  <c r="J83" i="7"/>
  <c r="I83" i="7"/>
  <c r="H83" i="7"/>
  <c r="G83" i="7"/>
  <c r="R82" i="7"/>
  <c r="Q82" i="7"/>
  <c r="P82" i="7"/>
  <c r="O82" i="7"/>
  <c r="L82" i="7"/>
  <c r="K82" i="7"/>
  <c r="J82" i="7"/>
  <c r="H82" i="7"/>
  <c r="G82" i="7"/>
  <c r="R81" i="7"/>
  <c r="Q81" i="7"/>
  <c r="O81" i="7"/>
  <c r="N81" i="7"/>
  <c r="M81" i="7"/>
  <c r="L81" i="7"/>
  <c r="K81" i="7"/>
  <c r="J81" i="7"/>
  <c r="I81" i="7"/>
  <c r="H81" i="7"/>
  <c r="G81" i="7"/>
  <c r="P80" i="7"/>
  <c r="O80" i="7"/>
  <c r="N80" i="7"/>
  <c r="L80" i="7"/>
  <c r="K80" i="7"/>
  <c r="J80" i="7"/>
  <c r="I80" i="7"/>
  <c r="H80" i="7"/>
  <c r="R79" i="7"/>
  <c r="Q79" i="7"/>
  <c r="P79" i="7"/>
  <c r="O79" i="7"/>
  <c r="N79" i="7"/>
  <c r="M79" i="7"/>
  <c r="L79" i="7"/>
  <c r="K79" i="7"/>
  <c r="J79" i="7"/>
  <c r="G79" i="7"/>
  <c r="R78" i="7"/>
  <c r="P78" i="7"/>
  <c r="O78" i="7"/>
  <c r="N78" i="7"/>
  <c r="M78" i="7"/>
  <c r="L78" i="7"/>
  <c r="I78" i="7"/>
  <c r="H78" i="7"/>
  <c r="G78" i="7"/>
  <c r="R77" i="7"/>
  <c r="Q77" i="7"/>
  <c r="P77" i="7"/>
  <c r="O77" i="7"/>
  <c r="N77" i="7"/>
  <c r="K77" i="7"/>
  <c r="J77" i="7"/>
  <c r="I77" i="7"/>
  <c r="G77" i="7"/>
  <c r="R76" i="7"/>
  <c r="Q76" i="7"/>
  <c r="P76" i="7"/>
  <c r="N76" i="7"/>
  <c r="M76" i="7"/>
  <c r="L76" i="7"/>
  <c r="K76" i="7"/>
  <c r="J76" i="7"/>
  <c r="I76" i="7"/>
  <c r="H76" i="7"/>
  <c r="G76" i="7"/>
  <c r="R75" i="7"/>
  <c r="O75" i="7"/>
  <c r="N75" i="7"/>
  <c r="M75" i="7"/>
  <c r="K75" i="7"/>
  <c r="J75" i="7"/>
  <c r="I75" i="7"/>
  <c r="H75" i="7"/>
  <c r="G75" i="7"/>
  <c r="E74" i="7"/>
  <c r="M80" i="7" s="1"/>
  <c r="D74" i="7"/>
  <c r="I82" i="7" s="1"/>
  <c r="R72" i="7"/>
  <c r="K69" i="7"/>
  <c r="J69" i="7"/>
  <c r="I69" i="7"/>
  <c r="H69" i="7"/>
  <c r="S69" i="7" s="1"/>
  <c r="G69" i="7"/>
  <c r="J65" i="7"/>
  <c r="I65" i="7"/>
  <c r="H65" i="7"/>
  <c r="G65" i="7"/>
  <c r="S65" i="7" s="1"/>
  <c r="H64" i="7"/>
  <c r="G64" i="7"/>
  <c r="J63" i="7"/>
  <c r="I63" i="7"/>
  <c r="H63" i="7"/>
  <c r="G63" i="7"/>
  <c r="S63" i="7" s="1"/>
  <c r="E60" i="7"/>
  <c r="K62" i="7" s="1"/>
  <c r="D60" i="7"/>
  <c r="R58" i="7"/>
  <c r="Q58" i="7"/>
  <c r="P58" i="7"/>
  <c r="O58" i="7"/>
  <c r="N58" i="7"/>
  <c r="M58" i="7"/>
  <c r="L55" i="7"/>
  <c r="K55" i="7"/>
  <c r="J55" i="7"/>
  <c r="I55" i="7"/>
  <c r="H55" i="7"/>
  <c r="G55" i="7"/>
  <c r="S55" i="7" s="1"/>
  <c r="L54" i="7"/>
  <c r="H54" i="7"/>
  <c r="G54" i="7"/>
  <c r="K51" i="7"/>
  <c r="G51" i="7"/>
  <c r="D50" i="7"/>
  <c r="R47" i="7"/>
  <c r="Q47" i="7"/>
  <c r="P47" i="7"/>
  <c r="O47" i="7"/>
  <c r="N47" i="7"/>
  <c r="J47" i="7"/>
  <c r="I47" i="7"/>
  <c r="H47" i="7"/>
  <c r="G47" i="7"/>
  <c r="R44" i="7"/>
  <c r="O44" i="7"/>
  <c r="N44" i="7"/>
  <c r="M44" i="7"/>
  <c r="L44" i="7"/>
  <c r="K44" i="7"/>
  <c r="J44" i="7"/>
  <c r="I44" i="7"/>
  <c r="H44" i="7"/>
  <c r="G44" i="7"/>
  <c r="Q43" i="7"/>
  <c r="P43" i="7"/>
  <c r="O43" i="7"/>
  <c r="M43" i="7"/>
  <c r="L43" i="7"/>
  <c r="K43" i="7"/>
  <c r="J43" i="7"/>
  <c r="I43" i="7"/>
  <c r="R42" i="7"/>
  <c r="Q42" i="7"/>
  <c r="P42" i="7"/>
  <c r="O42" i="7"/>
  <c r="N42" i="7"/>
  <c r="M42" i="7"/>
  <c r="L42" i="7"/>
  <c r="K42" i="7"/>
  <c r="G42" i="7"/>
  <c r="Q41" i="7"/>
  <c r="P41" i="7"/>
  <c r="O41" i="7"/>
  <c r="N41" i="7"/>
  <c r="M41" i="7"/>
  <c r="I41" i="7"/>
  <c r="H41" i="7"/>
  <c r="G41" i="7"/>
  <c r="R40" i="7"/>
  <c r="Q40" i="7"/>
  <c r="P40" i="7"/>
  <c r="O40" i="7"/>
  <c r="L40" i="7"/>
  <c r="K40" i="7"/>
  <c r="J40" i="7"/>
  <c r="H40" i="7"/>
  <c r="G40" i="7"/>
  <c r="R39" i="7"/>
  <c r="Q39" i="7"/>
  <c r="N39" i="7"/>
  <c r="M39" i="7"/>
  <c r="L39" i="7"/>
  <c r="K39" i="7"/>
  <c r="J39" i="7"/>
  <c r="I39" i="7"/>
  <c r="H39" i="7"/>
  <c r="G39" i="7"/>
  <c r="P38" i="7"/>
  <c r="O38" i="7"/>
  <c r="N38" i="7"/>
  <c r="L38" i="7"/>
  <c r="K38" i="7"/>
  <c r="J38" i="7"/>
  <c r="I38" i="7"/>
  <c r="H38" i="7"/>
  <c r="E37" i="7"/>
  <c r="N43" i="7" s="1"/>
  <c r="D37" i="7"/>
  <c r="I40" i="7" s="1"/>
  <c r="K32" i="7"/>
  <c r="I32" i="7"/>
  <c r="H32" i="7"/>
  <c r="G32" i="7"/>
  <c r="K30" i="7"/>
  <c r="J30" i="7"/>
  <c r="I30" i="7"/>
  <c r="H28" i="7"/>
  <c r="G28" i="7"/>
  <c r="K27" i="7"/>
  <c r="J27" i="7"/>
  <c r="H27" i="7"/>
  <c r="G27" i="7"/>
  <c r="D25" i="7"/>
  <c r="R21" i="7"/>
  <c r="Q21" i="7"/>
  <c r="P21" i="7"/>
  <c r="O21" i="7"/>
  <c r="N21" i="7"/>
  <c r="R19" i="7"/>
  <c r="Q19" i="7"/>
  <c r="H19" i="7"/>
  <c r="G19" i="7"/>
  <c r="O17" i="7"/>
  <c r="M17" i="7"/>
  <c r="L17" i="7"/>
  <c r="K17" i="7"/>
  <c r="J17" i="7"/>
  <c r="I17" i="7"/>
  <c r="R16" i="7"/>
  <c r="Q16" i="7"/>
  <c r="P16" i="7"/>
  <c r="O16" i="7"/>
  <c r="N16" i="7"/>
  <c r="D14" i="7"/>
  <c r="O10" i="7"/>
  <c r="N10" i="7"/>
  <c r="M10" i="7"/>
  <c r="L10" i="7"/>
  <c r="K10" i="7"/>
  <c r="I10" i="7"/>
  <c r="H10" i="7"/>
  <c r="Q9" i="7"/>
  <c r="P9" i="7"/>
  <c r="N9" i="7"/>
  <c r="M9" i="7"/>
  <c r="L9" i="7"/>
  <c r="K9" i="7"/>
  <c r="R8" i="7"/>
  <c r="Q8" i="7"/>
  <c r="P8" i="7"/>
  <c r="N8" i="7"/>
  <c r="M8" i="7"/>
  <c r="L8" i="7"/>
  <c r="H8" i="7"/>
  <c r="G8" i="7"/>
  <c r="R7" i="7"/>
  <c r="Q7" i="7"/>
  <c r="P7" i="7"/>
  <c r="O7" i="7"/>
  <c r="N7" i="7"/>
  <c r="K7" i="7"/>
  <c r="J7" i="7"/>
  <c r="I7" i="7"/>
  <c r="H7" i="7"/>
  <c r="G7" i="7"/>
  <c r="R6" i="7"/>
  <c r="Q6" i="7"/>
  <c r="P6" i="7"/>
  <c r="L6" i="7"/>
  <c r="K6" i="7"/>
  <c r="H6" i="7"/>
  <c r="G6" i="7"/>
  <c r="R5" i="7"/>
  <c r="O5" i="7"/>
  <c r="N5" i="7"/>
  <c r="M5" i="7"/>
  <c r="L5" i="7"/>
  <c r="K5" i="7"/>
  <c r="I5" i="7"/>
  <c r="H5" i="7"/>
  <c r="G5" i="7"/>
  <c r="P4" i="7"/>
  <c r="O4" i="7"/>
  <c r="M4" i="7"/>
  <c r="L4" i="7"/>
  <c r="K4" i="7"/>
  <c r="I4" i="7"/>
  <c r="F3" i="7"/>
  <c r="D3" i="7"/>
  <c r="K83" i="6"/>
  <c r="S83" i="6" s="1"/>
  <c r="J83" i="6"/>
  <c r="I83" i="6"/>
  <c r="H83" i="6"/>
  <c r="G83" i="6"/>
  <c r="Q82" i="6"/>
  <c r="P82" i="6"/>
  <c r="O82" i="6"/>
  <c r="N82" i="6"/>
  <c r="L82" i="6"/>
  <c r="K82" i="6"/>
  <c r="J82" i="6"/>
  <c r="R81" i="6"/>
  <c r="Q81" i="6"/>
  <c r="P81" i="6"/>
  <c r="O81" i="6"/>
  <c r="N81" i="6"/>
  <c r="M81" i="6"/>
  <c r="L81" i="6"/>
  <c r="R80" i="6"/>
  <c r="Q80" i="6"/>
  <c r="P80" i="6"/>
  <c r="O80" i="6"/>
  <c r="I80" i="6"/>
  <c r="H80" i="6"/>
  <c r="G80" i="6"/>
  <c r="R79" i="6"/>
  <c r="Q79" i="6"/>
  <c r="P79" i="6"/>
  <c r="O79" i="6"/>
  <c r="N79" i="6"/>
  <c r="M79" i="6"/>
  <c r="R78" i="6"/>
  <c r="N78" i="6"/>
  <c r="M78" i="6"/>
  <c r="J78" i="6"/>
  <c r="I78" i="6"/>
  <c r="H78" i="6"/>
  <c r="G78" i="6"/>
  <c r="R77" i="6"/>
  <c r="Q77" i="6"/>
  <c r="P77" i="6"/>
  <c r="O77" i="6"/>
  <c r="N77" i="6"/>
  <c r="Q76" i="6"/>
  <c r="P76" i="6"/>
  <c r="O76" i="6"/>
  <c r="N76" i="6"/>
  <c r="L76" i="6"/>
  <c r="K76" i="6"/>
  <c r="J76" i="6"/>
  <c r="I76" i="6"/>
  <c r="H76" i="6"/>
  <c r="G76" i="6"/>
  <c r="R75" i="6"/>
  <c r="Q75" i="6"/>
  <c r="P75" i="6"/>
  <c r="O75" i="6"/>
  <c r="E74" i="6"/>
  <c r="M82" i="6" s="1"/>
  <c r="D74" i="6"/>
  <c r="J80" i="6" s="1"/>
  <c r="R72" i="6"/>
  <c r="Q72" i="6"/>
  <c r="P72" i="6"/>
  <c r="O72" i="6"/>
  <c r="N72" i="6"/>
  <c r="M72" i="6"/>
  <c r="L72" i="6"/>
  <c r="K72" i="6"/>
  <c r="J72" i="6"/>
  <c r="I72" i="6"/>
  <c r="H72" i="6"/>
  <c r="G72" i="6"/>
  <c r="S72" i="6" s="1"/>
  <c r="O70" i="6"/>
  <c r="K69" i="6"/>
  <c r="S69" i="6" s="1"/>
  <c r="J69" i="6"/>
  <c r="I69" i="6"/>
  <c r="H69" i="6"/>
  <c r="G69" i="6"/>
  <c r="K68" i="6"/>
  <c r="J68" i="6"/>
  <c r="I68" i="6"/>
  <c r="J67" i="6"/>
  <c r="I67" i="6"/>
  <c r="H67" i="6"/>
  <c r="G67" i="6"/>
  <c r="S67" i="6" s="1"/>
  <c r="J66" i="6"/>
  <c r="I66" i="6"/>
  <c r="H66" i="6"/>
  <c r="G66" i="6"/>
  <c r="S66" i="6" s="1"/>
  <c r="J65" i="6"/>
  <c r="I65" i="6"/>
  <c r="H65" i="6"/>
  <c r="G65" i="6"/>
  <c r="S65" i="6" s="1"/>
  <c r="J64" i="6"/>
  <c r="I64" i="6"/>
  <c r="H64" i="6"/>
  <c r="G64" i="6"/>
  <c r="S64" i="6" s="1"/>
  <c r="H63" i="6"/>
  <c r="G63" i="6"/>
  <c r="R62" i="6"/>
  <c r="R70" i="6" s="1"/>
  <c r="Q62" i="6"/>
  <c r="Q70" i="6" s="1"/>
  <c r="P62" i="6"/>
  <c r="P70" i="6" s="1"/>
  <c r="O62" i="6"/>
  <c r="N62" i="6"/>
  <c r="N70" i="6" s="1"/>
  <c r="M62" i="6"/>
  <c r="M70" i="6" s="1"/>
  <c r="L62" i="6"/>
  <c r="L70" i="6" s="1"/>
  <c r="K62" i="6"/>
  <c r="J62" i="6"/>
  <c r="I62" i="6"/>
  <c r="H62" i="6"/>
  <c r="G62" i="6"/>
  <c r="S62" i="6" s="1"/>
  <c r="J61" i="6"/>
  <c r="I61" i="6"/>
  <c r="H61" i="6"/>
  <c r="E60" i="6"/>
  <c r="D60" i="6"/>
  <c r="H68" i="6" s="1"/>
  <c r="R58" i="6"/>
  <c r="Q58" i="6"/>
  <c r="P58" i="6"/>
  <c r="O58" i="6"/>
  <c r="N58" i="6"/>
  <c r="M58" i="6"/>
  <c r="L57" i="6"/>
  <c r="K57" i="6"/>
  <c r="J57" i="6"/>
  <c r="I57" i="6"/>
  <c r="K56" i="6"/>
  <c r="J56" i="6"/>
  <c r="I56" i="6"/>
  <c r="H56" i="6"/>
  <c r="G56" i="6"/>
  <c r="L55" i="6"/>
  <c r="K55" i="6"/>
  <c r="J55" i="6"/>
  <c r="I55" i="6"/>
  <c r="H55" i="6"/>
  <c r="I54" i="6"/>
  <c r="H54" i="6"/>
  <c r="G54" i="6"/>
  <c r="J53" i="6"/>
  <c r="I53" i="6"/>
  <c r="G53" i="6"/>
  <c r="L52" i="6"/>
  <c r="K52" i="6"/>
  <c r="J52" i="6"/>
  <c r="S52" i="6" s="1"/>
  <c r="I52" i="6"/>
  <c r="H52" i="6"/>
  <c r="G52" i="6"/>
  <c r="L51" i="6"/>
  <c r="K51" i="6"/>
  <c r="D50" i="6"/>
  <c r="H57" i="6" s="1"/>
  <c r="N47" i="6"/>
  <c r="M47" i="6"/>
  <c r="L47" i="6"/>
  <c r="I47" i="6"/>
  <c r="H47" i="6"/>
  <c r="N44" i="6"/>
  <c r="R43" i="6"/>
  <c r="Q43" i="6"/>
  <c r="P43" i="6"/>
  <c r="O43" i="6"/>
  <c r="K43" i="6"/>
  <c r="P42" i="6"/>
  <c r="N41" i="6"/>
  <c r="O40" i="6"/>
  <c r="L40" i="6"/>
  <c r="K40" i="6"/>
  <c r="J40" i="6"/>
  <c r="G40" i="6"/>
  <c r="R39" i="6"/>
  <c r="Q39" i="6"/>
  <c r="E37" i="6"/>
  <c r="D37" i="6"/>
  <c r="I38" i="6" s="1"/>
  <c r="K35" i="6"/>
  <c r="J35" i="6"/>
  <c r="I35" i="6"/>
  <c r="H35" i="6"/>
  <c r="K31" i="6"/>
  <c r="J31" i="6"/>
  <c r="I28" i="6"/>
  <c r="H28" i="6"/>
  <c r="G28" i="6"/>
  <c r="D25" i="6"/>
  <c r="R21" i="6"/>
  <c r="P21" i="6"/>
  <c r="O21" i="6"/>
  <c r="N21" i="6"/>
  <c r="M21" i="6"/>
  <c r="L21" i="6"/>
  <c r="K21" i="6"/>
  <c r="J21" i="6"/>
  <c r="I21" i="6"/>
  <c r="H21" i="6"/>
  <c r="G21" i="6"/>
  <c r="S21" i="6" s="1"/>
  <c r="Q20" i="6"/>
  <c r="L20" i="6"/>
  <c r="K20" i="6"/>
  <c r="J20" i="6"/>
  <c r="I20" i="6"/>
  <c r="H20" i="6"/>
  <c r="G20" i="6"/>
  <c r="R19" i="6"/>
  <c r="Q19" i="6"/>
  <c r="P19" i="6"/>
  <c r="O19" i="6"/>
  <c r="N19" i="6"/>
  <c r="M19" i="6"/>
  <c r="L19" i="6"/>
  <c r="K19" i="6"/>
  <c r="H19" i="6"/>
  <c r="G19" i="6"/>
  <c r="N18" i="6"/>
  <c r="M18" i="6"/>
  <c r="L18" i="6"/>
  <c r="K18" i="6"/>
  <c r="J18" i="6"/>
  <c r="I18" i="6"/>
  <c r="G18" i="6"/>
  <c r="R17" i="6"/>
  <c r="Q17" i="6"/>
  <c r="P17" i="6"/>
  <c r="O17" i="6"/>
  <c r="L17" i="6"/>
  <c r="K17" i="6"/>
  <c r="J17" i="6"/>
  <c r="I17" i="6"/>
  <c r="H17" i="6"/>
  <c r="P16" i="6"/>
  <c r="O16" i="6"/>
  <c r="N16" i="6"/>
  <c r="M16" i="6"/>
  <c r="L16" i="6"/>
  <c r="K16" i="6"/>
  <c r="I16" i="6"/>
  <c r="H16" i="6"/>
  <c r="G16" i="6"/>
  <c r="P15" i="6"/>
  <c r="O15" i="6"/>
  <c r="N15" i="6"/>
  <c r="M15" i="6"/>
  <c r="L15" i="6"/>
  <c r="K15" i="6"/>
  <c r="K23" i="6" s="1"/>
  <c r="J15" i="6"/>
  <c r="D14" i="6"/>
  <c r="Q21" i="6" s="1"/>
  <c r="F3" i="6"/>
  <c r="D3" i="6"/>
  <c r="R10" i="6" s="1"/>
  <c r="D5" i="4"/>
  <c r="E5" i="4"/>
  <c r="F5" i="4"/>
  <c r="G5" i="4"/>
  <c r="H5" i="4"/>
  <c r="I5" i="4"/>
  <c r="J5" i="4"/>
  <c r="K5" i="4"/>
  <c r="L5" i="4"/>
  <c r="M5" i="4"/>
  <c r="N5" i="4"/>
  <c r="D6" i="4"/>
  <c r="E6" i="4"/>
  <c r="F6" i="4"/>
  <c r="G6" i="4"/>
  <c r="H6" i="4"/>
  <c r="I6" i="4"/>
  <c r="J6" i="4"/>
  <c r="K6" i="4"/>
  <c r="L6" i="4"/>
  <c r="M6" i="4"/>
  <c r="N6" i="4"/>
  <c r="D7" i="4"/>
  <c r="E7" i="4"/>
  <c r="F7" i="4"/>
  <c r="G7" i="4"/>
  <c r="H7" i="4"/>
  <c r="I7" i="4"/>
  <c r="J7" i="4"/>
  <c r="K7" i="4"/>
  <c r="L7" i="4"/>
  <c r="M7" i="4"/>
  <c r="N7" i="4"/>
  <c r="D8" i="4"/>
  <c r="E8" i="4"/>
  <c r="F8" i="4"/>
  <c r="G8" i="4"/>
  <c r="H8" i="4"/>
  <c r="I8" i="4"/>
  <c r="J8" i="4"/>
  <c r="K8" i="4"/>
  <c r="L8" i="4"/>
  <c r="M8" i="4"/>
  <c r="N8" i="4"/>
  <c r="C8" i="4"/>
  <c r="C7" i="4"/>
  <c r="C6" i="4"/>
  <c r="C5" i="4"/>
  <c r="C9" i="4" s="1"/>
  <c r="J83" i="2"/>
  <c r="I83" i="2"/>
  <c r="K69" i="2"/>
  <c r="J69" i="2"/>
  <c r="I69" i="2"/>
  <c r="E74" i="2"/>
  <c r="P75" i="2" s="1"/>
  <c r="D74" i="2"/>
  <c r="J82" i="2" s="1"/>
  <c r="E60" i="2"/>
  <c r="R72" i="2" s="1"/>
  <c r="D60" i="2"/>
  <c r="K62" i="2" s="1"/>
  <c r="D50" i="2"/>
  <c r="I51" i="2" s="1"/>
  <c r="E37" i="2"/>
  <c r="Q39" i="2" s="1"/>
  <c r="D37" i="2"/>
  <c r="G47" i="2" s="1"/>
  <c r="F3" i="2"/>
  <c r="D25" i="2"/>
  <c r="R27" i="2" s="1"/>
  <c r="D14" i="2"/>
  <c r="G18" i="2" s="1"/>
  <c r="D3" i="2"/>
  <c r="G4" i="2" s="1"/>
  <c r="L13" i="17" l="1"/>
  <c r="L22" i="17" s="1"/>
  <c r="L42" i="17" s="1"/>
  <c r="M13" i="17"/>
  <c r="M22" i="17" s="1"/>
  <c r="M42" i="17" s="1"/>
  <c r="F13" i="17"/>
  <c r="F22" i="17" s="1"/>
  <c r="F42" i="17" s="1"/>
  <c r="I13" i="17"/>
  <c r="I22" i="17" s="1"/>
  <c r="I42" i="17" s="1"/>
  <c r="E13" i="17"/>
  <c r="E22" i="17" s="1"/>
  <c r="E42" i="17" s="1"/>
  <c r="G13" i="17"/>
  <c r="G22" i="17" s="1"/>
  <c r="G42" i="17" s="1"/>
  <c r="H13" i="17"/>
  <c r="H22" i="17" s="1"/>
  <c r="H42" i="17" s="1"/>
  <c r="J13" i="17"/>
  <c r="J22" i="17" s="1"/>
  <c r="J42" i="17" s="1"/>
  <c r="K13" i="17"/>
  <c r="K22" i="17" s="1"/>
  <c r="K42" i="17" s="1"/>
  <c r="F66" i="1"/>
  <c r="G66" i="1"/>
  <c r="G68" i="1" s="1"/>
  <c r="K57" i="1"/>
  <c r="K59" i="1" s="1"/>
  <c r="J80" i="1"/>
  <c r="D57" i="1"/>
  <c r="D59" i="1" s="1"/>
  <c r="C57" i="1"/>
  <c r="K66" i="1"/>
  <c r="K68" i="1" s="1"/>
  <c r="H66" i="1"/>
  <c r="H68" i="1" s="1"/>
  <c r="K80" i="1"/>
  <c r="C82" i="1"/>
  <c r="G82" i="1"/>
  <c r="D82" i="1"/>
  <c r="E82" i="1"/>
  <c r="J66" i="1"/>
  <c r="J68" i="1" s="1"/>
  <c r="I66" i="1"/>
  <c r="I68" i="1" s="1"/>
  <c r="F57" i="1"/>
  <c r="F59" i="1" s="1"/>
  <c r="I82" i="1"/>
  <c r="E57" i="1"/>
  <c r="E59" i="1" s="1"/>
  <c r="J82" i="1"/>
  <c r="E80" i="1"/>
  <c r="D80" i="1"/>
  <c r="K82" i="1"/>
  <c r="E68" i="1"/>
  <c r="C80" i="1"/>
  <c r="H82" i="1"/>
  <c r="D68" i="1"/>
  <c r="C68" i="1"/>
  <c r="C81" i="1"/>
  <c r="D81" i="1"/>
  <c r="F80" i="1"/>
  <c r="E81" i="1"/>
  <c r="G80" i="1"/>
  <c r="F81" i="1"/>
  <c r="H80" i="1"/>
  <c r="I81" i="1"/>
  <c r="K81" i="1"/>
  <c r="G81" i="1"/>
  <c r="I80" i="1"/>
  <c r="H81" i="1"/>
  <c r="J81" i="1"/>
  <c r="C84" i="1"/>
  <c r="D84" i="1"/>
  <c r="E84" i="1"/>
  <c r="F84" i="1"/>
  <c r="G84" i="1"/>
  <c r="H84" i="1"/>
  <c r="I84" i="1"/>
  <c r="J84" i="1"/>
  <c r="K84" i="1"/>
  <c r="F82" i="1"/>
  <c r="F68" i="1"/>
  <c r="B66" i="1"/>
  <c r="B68" i="1" s="1"/>
  <c r="G57" i="1"/>
  <c r="G59" i="1" s="1"/>
  <c r="C59" i="1"/>
  <c r="B57" i="1"/>
  <c r="B59" i="1" s="1"/>
  <c r="I57" i="1"/>
  <c r="I59" i="1" s="1"/>
  <c r="B48" i="1"/>
  <c r="B50" i="1" s="1"/>
  <c r="J57" i="1"/>
  <c r="J59" i="1" s="1"/>
  <c r="H57" i="1"/>
  <c r="H59" i="1" s="1"/>
  <c r="H48" i="1"/>
  <c r="H50" i="1" s="1"/>
  <c r="I48" i="1"/>
  <c r="I50" i="1" s="1"/>
  <c r="J48" i="1"/>
  <c r="J50" i="1" s="1"/>
  <c r="K48" i="1"/>
  <c r="K50" i="1" s="1"/>
  <c r="C48" i="1"/>
  <c r="C50" i="1" s="1"/>
  <c r="D48" i="1"/>
  <c r="D50" i="1" s="1"/>
  <c r="E48" i="1"/>
  <c r="E50" i="1" s="1"/>
  <c r="F48" i="1"/>
  <c r="F50" i="1" s="1"/>
  <c r="G48" i="1"/>
  <c r="G50" i="1" s="1"/>
  <c r="K39" i="1"/>
  <c r="K41" i="1" s="1"/>
  <c r="K30" i="1"/>
  <c r="K32" i="1" s="1"/>
  <c r="D39" i="1"/>
  <c r="D41" i="1" s="1"/>
  <c r="F39" i="1"/>
  <c r="F41" i="1" s="1"/>
  <c r="E39" i="1"/>
  <c r="E41" i="1" s="1"/>
  <c r="G39" i="1"/>
  <c r="G41" i="1" s="1"/>
  <c r="H39" i="1"/>
  <c r="H41" i="1" s="1"/>
  <c r="I39" i="1"/>
  <c r="I41" i="1" s="1"/>
  <c r="G30" i="1"/>
  <c r="G32" i="1" s="1"/>
  <c r="J30" i="1"/>
  <c r="J32" i="1" s="1"/>
  <c r="J39" i="1"/>
  <c r="J41" i="1" s="1"/>
  <c r="C39" i="1"/>
  <c r="C41" i="1" s="1"/>
  <c r="B39" i="1"/>
  <c r="B41" i="1" s="1"/>
  <c r="F30" i="1"/>
  <c r="F32" i="1" s="1"/>
  <c r="D30" i="1"/>
  <c r="D32" i="1" s="1"/>
  <c r="E30" i="1"/>
  <c r="E32" i="1" s="1"/>
  <c r="B30" i="1"/>
  <c r="B32" i="1" s="1"/>
  <c r="I30" i="1"/>
  <c r="I32" i="1" s="1"/>
  <c r="H30" i="1"/>
  <c r="H32" i="1" s="1"/>
  <c r="C30" i="1"/>
  <c r="C32" i="1" s="1"/>
  <c r="G13" i="1"/>
  <c r="G15" i="1" s="1"/>
  <c r="E13" i="1"/>
  <c r="E15" i="1" s="1"/>
  <c r="F13" i="1"/>
  <c r="F15" i="1" s="1"/>
  <c r="B13" i="1"/>
  <c r="C13" i="1"/>
  <c r="C15" i="1" s="1"/>
  <c r="D13" i="1"/>
  <c r="D15" i="1" s="1"/>
  <c r="H13" i="1"/>
  <c r="H15" i="1" s="1"/>
  <c r="J13" i="1"/>
  <c r="J15" i="1" s="1"/>
  <c r="K13" i="1"/>
  <c r="K15" i="1" s="1"/>
  <c r="I13" i="1"/>
  <c r="I15" i="1" s="1"/>
  <c r="D27" i="12"/>
  <c r="H38" i="2"/>
  <c r="H7" i="2"/>
  <c r="G53" i="2"/>
  <c r="G7" i="2"/>
  <c r="G12" i="2" s="1"/>
  <c r="H79" i="2"/>
  <c r="H65" i="2"/>
  <c r="H52" i="2"/>
  <c r="H35" i="2"/>
  <c r="H20" i="2"/>
  <c r="H6" i="2"/>
  <c r="G66" i="2"/>
  <c r="G38" i="2"/>
  <c r="G45" i="2" s="1"/>
  <c r="G21" i="2"/>
  <c r="G23" i="2" s="1"/>
  <c r="G79" i="2"/>
  <c r="G65" i="2"/>
  <c r="G52" i="2"/>
  <c r="G35" i="2"/>
  <c r="G20" i="2"/>
  <c r="G6" i="2"/>
  <c r="H10" i="2"/>
  <c r="G10" i="2"/>
  <c r="H9" i="2"/>
  <c r="G26" i="2"/>
  <c r="G9" i="2"/>
  <c r="H39" i="2"/>
  <c r="H8" i="2"/>
  <c r="G39" i="2"/>
  <c r="G8" i="2"/>
  <c r="H21" i="2"/>
  <c r="H64" i="2"/>
  <c r="H70" i="2" s="1"/>
  <c r="H51" i="2"/>
  <c r="H58" i="2" s="1"/>
  <c r="H19" i="2"/>
  <c r="H5" i="2"/>
  <c r="H89" i="2" s="1"/>
  <c r="G64" i="2"/>
  <c r="G51" i="2"/>
  <c r="G58" i="2" s="1"/>
  <c r="G19" i="2"/>
  <c r="G5" i="2"/>
  <c r="H77" i="2"/>
  <c r="H84" i="2" s="1"/>
  <c r="H63" i="2"/>
  <c r="H47" i="2"/>
  <c r="H32" i="2"/>
  <c r="H33" i="2" s="1"/>
  <c r="H18" i="2"/>
  <c r="H23" i="2" s="1"/>
  <c r="H4" i="2"/>
  <c r="G77" i="2"/>
  <c r="G84" i="2" s="1"/>
  <c r="G63" i="2"/>
  <c r="G70" i="2" s="1"/>
  <c r="G32" i="2"/>
  <c r="I82" i="2"/>
  <c r="K82" i="2"/>
  <c r="K83" i="2"/>
  <c r="S83" i="2" s="1"/>
  <c r="I6" i="12"/>
  <c r="I27" i="12" s="1"/>
  <c r="J6" i="12"/>
  <c r="J27" i="12" s="1"/>
  <c r="K6" i="12"/>
  <c r="K27" i="12" s="1"/>
  <c r="L6" i="12"/>
  <c r="L27" i="12" s="1"/>
  <c r="M6" i="12"/>
  <c r="M27" i="12" s="1"/>
  <c r="H6" i="12"/>
  <c r="H27" i="12" s="1"/>
  <c r="N23" i="13"/>
  <c r="L22" i="13"/>
  <c r="J26" i="13"/>
  <c r="N22" i="13"/>
  <c r="L26" i="13"/>
  <c r="I27" i="13"/>
  <c r="J27" i="13"/>
  <c r="O22" i="13"/>
  <c r="O23" i="13"/>
  <c r="O26" i="13"/>
  <c r="M27" i="13"/>
  <c r="L27" i="13"/>
  <c r="N27" i="13"/>
  <c r="O25" i="13"/>
  <c r="O24" i="13"/>
  <c r="L36" i="13"/>
  <c r="O14" i="13"/>
  <c r="O7" i="13"/>
  <c r="E34" i="13"/>
  <c r="D31" i="13"/>
  <c r="F34" i="13"/>
  <c r="K27" i="13"/>
  <c r="F31" i="13"/>
  <c r="G31" i="13"/>
  <c r="H31" i="13"/>
  <c r="J34" i="13"/>
  <c r="C33" i="13"/>
  <c r="K34" i="13"/>
  <c r="J31" i="13"/>
  <c r="J36" i="13" s="1"/>
  <c r="L34" i="13"/>
  <c r="K31" i="13"/>
  <c r="K36" i="13" s="1"/>
  <c r="M34" i="13"/>
  <c r="M36" i="13" s="1"/>
  <c r="L31" i="13"/>
  <c r="F33" i="13"/>
  <c r="F30" i="13"/>
  <c r="N31" i="13"/>
  <c r="N36" i="13" s="1"/>
  <c r="H33" i="13"/>
  <c r="O12" i="13"/>
  <c r="J33" i="13"/>
  <c r="O5" i="13"/>
  <c r="O9" i="13" s="1"/>
  <c r="I30" i="13"/>
  <c r="C32" i="13"/>
  <c r="O32" i="13" s="1"/>
  <c r="K33" i="13"/>
  <c r="E35" i="13"/>
  <c r="J18" i="13"/>
  <c r="G27" i="13"/>
  <c r="C34" i="13"/>
  <c r="D34" i="13"/>
  <c r="C31" i="13"/>
  <c r="E31" i="13"/>
  <c r="G34" i="13"/>
  <c r="H34" i="13"/>
  <c r="I34" i="13"/>
  <c r="I31" i="13"/>
  <c r="D33" i="13"/>
  <c r="C30" i="13"/>
  <c r="E33" i="13"/>
  <c r="D30" i="13"/>
  <c r="E30" i="13"/>
  <c r="G33" i="13"/>
  <c r="G30" i="13"/>
  <c r="I33" i="13"/>
  <c r="C35" i="13"/>
  <c r="O35" i="13" s="1"/>
  <c r="H30" i="13"/>
  <c r="D35" i="13"/>
  <c r="M5" i="11"/>
  <c r="L5" i="11"/>
  <c r="O5" i="11" s="1"/>
  <c r="N5" i="11"/>
  <c r="N6" i="11"/>
  <c r="L7" i="11"/>
  <c r="I8" i="11"/>
  <c r="J8" i="11"/>
  <c r="K8" i="11"/>
  <c r="L8" i="11"/>
  <c r="M8" i="11"/>
  <c r="I6" i="11"/>
  <c r="J6" i="11"/>
  <c r="K6" i="11"/>
  <c r="L6" i="11"/>
  <c r="M6" i="11"/>
  <c r="I7" i="11"/>
  <c r="J7" i="11"/>
  <c r="K7" i="11"/>
  <c r="M7" i="11"/>
  <c r="N7" i="11"/>
  <c r="N10" i="11" s="1"/>
  <c r="I5" i="10"/>
  <c r="O5" i="10" s="1"/>
  <c r="K5" i="10"/>
  <c r="L5" i="10"/>
  <c r="M5" i="10"/>
  <c r="N5" i="10"/>
  <c r="I6" i="10"/>
  <c r="J6" i="10"/>
  <c r="K6" i="10"/>
  <c r="J8" i="10"/>
  <c r="J5" i="10"/>
  <c r="L6" i="10"/>
  <c r="M6" i="10"/>
  <c r="N6" i="10"/>
  <c r="L7" i="10"/>
  <c r="M7" i="10"/>
  <c r="K8" i="10"/>
  <c r="L8" i="10"/>
  <c r="M8" i="10"/>
  <c r="F10" i="10"/>
  <c r="N8" i="10"/>
  <c r="G10" i="10"/>
  <c r="I8" i="10"/>
  <c r="H10" i="10"/>
  <c r="I7" i="10"/>
  <c r="J7" i="10"/>
  <c r="K7" i="10"/>
  <c r="O6" i="9"/>
  <c r="G11" i="9"/>
  <c r="M11" i="9"/>
  <c r="N11" i="9"/>
  <c r="C30" i="4"/>
  <c r="F36" i="4"/>
  <c r="O31" i="4"/>
  <c r="O35" i="4"/>
  <c r="O33" i="4"/>
  <c r="G36" i="4"/>
  <c r="K36" i="4"/>
  <c r="O32" i="4"/>
  <c r="N36" i="4"/>
  <c r="O34" i="4"/>
  <c r="H36" i="4"/>
  <c r="I36" i="4"/>
  <c r="M36" i="4"/>
  <c r="L36" i="4"/>
  <c r="O30" i="4"/>
  <c r="D36" i="4"/>
  <c r="N27" i="4"/>
  <c r="O24" i="4"/>
  <c r="M27" i="4"/>
  <c r="O25" i="4"/>
  <c r="L27" i="4"/>
  <c r="K27" i="4"/>
  <c r="D27" i="4"/>
  <c r="F27" i="4"/>
  <c r="I27" i="4"/>
  <c r="H27" i="4"/>
  <c r="G27" i="4"/>
  <c r="O22" i="4"/>
  <c r="O21" i="4"/>
  <c r="C27" i="4"/>
  <c r="O4" i="4"/>
  <c r="I18" i="4"/>
  <c r="J18" i="4"/>
  <c r="K18" i="4"/>
  <c r="N18" i="4"/>
  <c r="O6" i="4"/>
  <c r="O17" i="4"/>
  <c r="O8" i="4"/>
  <c r="L18" i="4"/>
  <c r="O7" i="4"/>
  <c r="M18" i="4"/>
  <c r="D9" i="4"/>
  <c r="C18" i="4"/>
  <c r="D18" i="4"/>
  <c r="G18" i="4"/>
  <c r="H18" i="4"/>
  <c r="O5" i="4"/>
  <c r="O12" i="4"/>
  <c r="F18" i="4"/>
  <c r="G84" i="7"/>
  <c r="S54" i="7"/>
  <c r="S51" i="7"/>
  <c r="G89" i="7"/>
  <c r="S5" i="7"/>
  <c r="S64" i="7"/>
  <c r="J10" i="7"/>
  <c r="J5" i="7"/>
  <c r="J9" i="7"/>
  <c r="J19" i="7"/>
  <c r="N17" i="7"/>
  <c r="R15" i="7"/>
  <c r="M20" i="7"/>
  <c r="Q18" i="7"/>
  <c r="H17" i="7"/>
  <c r="L15" i="7"/>
  <c r="L20" i="7"/>
  <c r="P18" i="7"/>
  <c r="G17" i="7"/>
  <c r="K15" i="7"/>
  <c r="K20" i="7"/>
  <c r="O18" i="7"/>
  <c r="J15" i="7"/>
  <c r="J23" i="7" s="1"/>
  <c r="K21" i="7"/>
  <c r="O19" i="7"/>
  <c r="S19" i="7" s="1"/>
  <c r="J16" i="7"/>
  <c r="M19" i="7"/>
  <c r="H16" i="7"/>
  <c r="J21" i="7"/>
  <c r="N19" i="7"/>
  <c r="R17" i="7"/>
  <c r="I16" i="7"/>
  <c r="I21" i="7"/>
  <c r="Q17" i="7"/>
  <c r="M21" i="7"/>
  <c r="M16" i="7"/>
  <c r="L21" i="7"/>
  <c r="R18" i="7"/>
  <c r="L16" i="7"/>
  <c r="Q15" i="7"/>
  <c r="Q23" i="7" s="1"/>
  <c r="J18" i="7"/>
  <c r="O15" i="7"/>
  <c r="N20" i="7"/>
  <c r="G18" i="7"/>
  <c r="P17" i="7"/>
  <c r="H21" i="7"/>
  <c r="N18" i="7"/>
  <c r="K16" i="7"/>
  <c r="G21" i="7"/>
  <c r="M18" i="7"/>
  <c r="G16" i="7"/>
  <c r="R20" i="7"/>
  <c r="L18" i="7"/>
  <c r="K18" i="7"/>
  <c r="P20" i="7"/>
  <c r="P15" i="7"/>
  <c r="I18" i="7"/>
  <c r="H18" i="7"/>
  <c r="M15" i="7"/>
  <c r="M23" i="7" s="1"/>
  <c r="I15" i="7"/>
  <c r="Q20" i="7"/>
  <c r="O20" i="7"/>
  <c r="N15" i="7"/>
  <c r="J20" i="7"/>
  <c r="I20" i="7"/>
  <c r="G15" i="7"/>
  <c r="G20" i="7"/>
  <c r="S20" i="7" s="1"/>
  <c r="J4" i="7"/>
  <c r="J12" i="7" s="1"/>
  <c r="H15" i="7"/>
  <c r="H23" i="7" s="1"/>
  <c r="H20" i="7"/>
  <c r="G57" i="7"/>
  <c r="H56" i="7"/>
  <c r="G53" i="7"/>
  <c r="G56" i="7"/>
  <c r="S56" i="7" s="1"/>
  <c r="L52" i="7"/>
  <c r="L57" i="7"/>
  <c r="K54" i="7"/>
  <c r="J51" i="7"/>
  <c r="I54" i="7"/>
  <c r="K57" i="7"/>
  <c r="J54" i="7"/>
  <c r="I51" i="7"/>
  <c r="J57" i="7"/>
  <c r="H51" i="7"/>
  <c r="L53" i="7"/>
  <c r="K53" i="7"/>
  <c r="K58" i="7" s="1"/>
  <c r="J52" i="7"/>
  <c r="G52" i="7"/>
  <c r="S52" i="7" s="1"/>
  <c r="J53" i="7"/>
  <c r="I53" i="7"/>
  <c r="H53" i="7"/>
  <c r="I57" i="7"/>
  <c r="K52" i="7"/>
  <c r="H57" i="7"/>
  <c r="L56" i="7"/>
  <c r="L51" i="7"/>
  <c r="I52" i="7"/>
  <c r="H52" i="7"/>
  <c r="K56" i="7"/>
  <c r="J56" i="7"/>
  <c r="I56" i="7"/>
  <c r="H68" i="7"/>
  <c r="G61" i="7"/>
  <c r="G67" i="7"/>
  <c r="S67" i="7" s="1"/>
  <c r="J66" i="7"/>
  <c r="J72" i="7"/>
  <c r="I64" i="7"/>
  <c r="I72" i="7"/>
  <c r="J64" i="7"/>
  <c r="H72" i="7"/>
  <c r="J61" i="7"/>
  <c r="J68" i="7"/>
  <c r="G72" i="7"/>
  <c r="I66" i="7"/>
  <c r="H66" i="7"/>
  <c r="H61" i="7"/>
  <c r="I68" i="7"/>
  <c r="G68" i="7"/>
  <c r="J67" i="7"/>
  <c r="I67" i="7"/>
  <c r="H67" i="7"/>
  <c r="I61" i="7"/>
  <c r="J62" i="7"/>
  <c r="I62" i="7"/>
  <c r="H62" i="7"/>
  <c r="H89" i="7" s="1"/>
  <c r="G66" i="7"/>
  <c r="S66" i="7" s="1"/>
  <c r="S7" i="7"/>
  <c r="K70" i="7"/>
  <c r="R84" i="7"/>
  <c r="S28" i="7"/>
  <c r="S77" i="7"/>
  <c r="I19" i="7"/>
  <c r="K19" i="7"/>
  <c r="L19" i="7"/>
  <c r="P19" i="7"/>
  <c r="J32" i="7"/>
  <c r="S32" i="7" s="1"/>
  <c r="R33" i="7"/>
  <c r="I27" i="7"/>
  <c r="I89" i="7" s="1"/>
  <c r="H30" i="7"/>
  <c r="G30" i="7"/>
  <c r="K28" i="7"/>
  <c r="J28" i="7"/>
  <c r="K35" i="7"/>
  <c r="J29" i="7"/>
  <c r="H29" i="7"/>
  <c r="J35" i="7"/>
  <c r="I29" i="7"/>
  <c r="M89" i="7"/>
  <c r="I35" i="7"/>
  <c r="G31" i="7"/>
  <c r="H26" i="7"/>
  <c r="I31" i="7"/>
  <c r="R62" i="7"/>
  <c r="R70" i="7" s="1"/>
  <c r="Q62" i="7"/>
  <c r="Q70" i="7" s="1"/>
  <c r="P62" i="7"/>
  <c r="P70" i="7" s="1"/>
  <c r="K68" i="7"/>
  <c r="O84" i="7"/>
  <c r="H31" i="7"/>
  <c r="I26" i="7"/>
  <c r="L72" i="7"/>
  <c r="J26" i="7"/>
  <c r="J31" i="7"/>
  <c r="L62" i="7"/>
  <c r="L70" i="7" s="1"/>
  <c r="M72" i="7"/>
  <c r="K26" i="7"/>
  <c r="K31" i="7"/>
  <c r="M62" i="7"/>
  <c r="M70" i="7" s="1"/>
  <c r="N72" i="7"/>
  <c r="N62" i="7"/>
  <c r="N70" i="7" s="1"/>
  <c r="O72" i="7"/>
  <c r="I28" i="7"/>
  <c r="G26" i="7"/>
  <c r="N89" i="7"/>
  <c r="N45" i="7"/>
  <c r="K72" i="7"/>
  <c r="G29" i="7"/>
  <c r="O62" i="7"/>
  <c r="O70" i="7" s="1"/>
  <c r="P72" i="7"/>
  <c r="S83" i="7"/>
  <c r="O9" i="7"/>
  <c r="J6" i="7"/>
  <c r="N4" i="7"/>
  <c r="N12" i="7" s="1"/>
  <c r="R10" i="7"/>
  <c r="I9" i="7"/>
  <c r="M7" i="7"/>
  <c r="Q5" i="7"/>
  <c r="Q89" i="7" s="1"/>
  <c r="H4" i="7"/>
  <c r="Q10" i="7"/>
  <c r="H9" i="7"/>
  <c r="L7" i="7"/>
  <c r="L12" i="7" s="1"/>
  <c r="P5" i="7"/>
  <c r="P12" i="7" s="1"/>
  <c r="G4" i="7"/>
  <c r="P10" i="7"/>
  <c r="G9" i="7"/>
  <c r="G10" i="7"/>
  <c r="S10" i="7" s="1"/>
  <c r="K8" i="7"/>
  <c r="K12" i="7" s="1"/>
  <c r="O6" i="7"/>
  <c r="O12" i="7" s="1"/>
  <c r="R9" i="7"/>
  <c r="M6" i="7"/>
  <c r="M12" i="7" s="1"/>
  <c r="J8" i="7"/>
  <c r="N6" i="7"/>
  <c r="R4" i="7"/>
  <c r="I8" i="7"/>
  <c r="Q4" i="7"/>
  <c r="Q12" i="7" s="1"/>
  <c r="I6" i="7"/>
  <c r="O8" i="7"/>
  <c r="K29" i="7"/>
  <c r="H35" i="7"/>
  <c r="Q72" i="7"/>
  <c r="H42" i="7"/>
  <c r="H45" i="7" s="1"/>
  <c r="Q38" i="7"/>
  <c r="M40" i="7"/>
  <c r="S40" i="7" s="1"/>
  <c r="I42" i="7"/>
  <c r="I45" i="7" s="1"/>
  <c r="R43" i="7"/>
  <c r="P75" i="7"/>
  <c r="P84" i="7" s="1"/>
  <c r="L77" i="7"/>
  <c r="H79" i="7"/>
  <c r="S79" i="7" s="1"/>
  <c r="Q80" i="7"/>
  <c r="M82" i="7"/>
  <c r="S82" i="7" s="1"/>
  <c r="R38" i="7"/>
  <c r="N40" i="7"/>
  <c r="J42" i="7"/>
  <c r="Q75" i="7"/>
  <c r="M77" i="7"/>
  <c r="I79" i="7"/>
  <c r="I84" i="7" s="1"/>
  <c r="R80" i="7"/>
  <c r="N82" i="7"/>
  <c r="N84" i="7" s="1"/>
  <c r="J41" i="7"/>
  <c r="J45" i="7" s="1"/>
  <c r="K47" i="7"/>
  <c r="O39" i="7"/>
  <c r="O45" i="7" s="1"/>
  <c r="K41" i="7"/>
  <c r="K45" i="7" s="1"/>
  <c r="G43" i="7"/>
  <c r="P44" i="7"/>
  <c r="L47" i="7"/>
  <c r="J78" i="7"/>
  <c r="G38" i="7"/>
  <c r="P39" i="7"/>
  <c r="P45" i="7" s="1"/>
  <c r="L41" i="7"/>
  <c r="L45" i="7" s="1"/>
  <c r="H43" i="7"/>
  <c r="Q44" i="7"/>
  <c r="S44" i="7" s="1"/>
  <c r="M47" i="7"/>
  <c r="O76" i="7"/>
  <c r="S76" i="7" s="1"/>
  <c r="K78" i="7"/>
  <c r="K84" i="7" s="1"/>
  <c r="G80" i="7"/>
  <c r="P81" i="7"/>
  <c r="S81" i="7" s="1"/>
  <c r="M38" i="7"/>
  <c r="R41" i="7"/>
  <c r="L75" i="7"/>
  <c r="S75" i="7" s="1"/>
  <c r="H77" i="7"/>
  <c r="Q78" i="7"/>
  <c r="R84" i="6"/>
  <c r="H26" i="6"/>
  <c r="H33" i="6" s="1"/>
  <c r="I5" i="6"/>
  <c r="N7" i="6"/>
  <c r="O10" i="6"/>
  <c r="I26" i="6"/>
  <c r="N43" i="6"/>
  <c r="R41" i="6"/>
  <c r="M38" i="6"/>
  <c r="R47" i="6"/>
  <c r="M43" i="6"/>
  <c r="Q41" i="6"/>
  <c r="L38" i="6"/>
  <c r="L45" i="6" s="1"/>
  <c r="Q47" i="6"/>
  <c r="L43" i="6"/>
  <c r="P41" i="6"/>
  <c r="M39" i="6"/>
  <c r="L39" i="6"/>
  <c r="R44" i="6"/>
  <c r="P47" i="6"/>
  <c r="Q44" i="6"/>
  <c r="R42" i="6"/>
  <c r="O47" i="6"/>
  <c r="P44" i="6"/>
  <c r="Q42" i="6"/>
  <c r="R40" i="6"/>
  <c r="L44" i="6"/>
  <c r="M42" i="6"/>
  <c r="N40" i="6"/>
  <c r="P38" i="6"/>
  <c r="L42" i="6"/>
  <c r="M40" i="6"/>
  <c r="S40" i="6" s="1"/>
  <c r="O38" i="6"/>
  <c r="P40" i="6"/>
  <c r="H44" i="6"/>
  <c r="H70" i="6"/>
  <c r="J5" i="6"/>
  <c r="O7" i="6"/>
  <c r="P10" i="6"/>
  <c r="J26" i="6"/>
  <c r="H32" i="6"/>
  <c r="G38" i="6"/>
  <c r="Q40" i="6"/>
  <c r="I44" i="6"/>
  <c r="K5" i="6"/>
  <c r="Q7" i="6"/>
  <c r="Q10" i="6"/>
  <c r="K26" i="6"/>
  <c r="K32" i="6"/>
  <c r="H38" i="6"/>
  <c r="L41" i="6"/>
  <c r="J44" i="6"/>
  <c r="L5" i="6"/>
  <c r="L89" i="6" s="1"/>
  <c r="G8" i="6"/>
  <c r="M41" i="6"/>
  <c r="M44" i="6"/>
  <c r="K70" i="6"/>
  <c r="O9" i="6"/>
  <c r="J6" i="6"/>
  <c r="N4" i="6"/>
  <c r="N9" i="6"/>
  <c r="R7" i="6"/>
  <c r="I6" i="6"/>
  <c r="M4" i="6"/>
  <c r="M10" i="6"/>
  <c r="O8" i="6"/>
  <c r="Q6" i="6"/>
  <c r="L10" i="6"/>
  <c r="N8" i="6"/>
  <c r="P6" i="6"/>
  <c r="R4" i="6"/>
  <c r="R12" i="6" s="1"/>
  <c r="K10" i="6"/>
  <c r="M8" i="6"/>
  <c r="O6" i="6"/>
  <c r="Q4" i="6"/>
  <c r="J10" i="6"/>
  <c r="L8" i="6"/>
  <c r="N6" i="6"/>
  <c r="P4" i="6"/>
  <c r="I10" i="6"/>
  <c r="K8" i="6"/>
  <c r="M6" i="6"/>
  <c r="O4" i="6"/>
  <c r="H10" i="6"/>
  <c r="J8" i="6"/>
  <c r="L6" i="6"/>
  <c r="L4" i="6"/>
  <c r="P9" i="6"/>
  <c r="P7" i="6"/>
  <c r="R5" i="6"/>
  <c r="R89" i="6" s="1"/>
  <c r="G4" i="6"/>
  <c r="K9" i="6"/>
  <c r="S28" i="6"/>
  <c r="G7" i="6"/>
  <c r="S7" i="6" s="1"/>
  <c r="L9" i="6"/>
  <c r="H4" i="6"/>
  <c r="H7" i="6"/>
  <c r="M9" i="6"/>
  <c r="I4" i="6"/>
  <c r="I7" i="6"/>
  <c r="Q9" i="6"/>
  <c r="L23" i="6"/>
  <c r="J4" i="6"/>
  <c r="J7" i="6"/>
  <c r="R9" i="6"/>
  <c r="K4" i="6"/>
  <c r="K7" i="6"/>
  <c r="J32" i="6"/>
  <c r="I27" i="6"/>
  <c r="I32" i="6"/>
  <c r="H27" i="6"/>
  <c r="H31" i="6"/>
  <c r="J29" i="6"/>
  <c r="G31" i="6"/>
  <c r="I29" i="6"/>
  <c r="K27" i="6"/>
  <c r="H29" i="6"/>
  <c r="J27" i="6"/>
  <c r="G29" i="6"/>
  <c r="S29" i="6" s="1"/>
  <c r="G27" i="6"/>
  <c r="S27" i="6" s="1"/>
  <c r="G35" i="6"/>
  <c r="G32" i="6"/>
  <c r="I30" i="6"/>
  <c r="K28" i="6"/>
  <c r="H30" i="6"/>
  <c r="J28" i="6"/>
  <c r="L33" i="6"/>
  <c r="J70" i="6"/>
  <c r="G5" i="6"/>
  <c r="L7" i="6"/>
  <c r="G10" i="6"/>
  <c r="S10" i="6" s="1"/>
  <c r="G26" i="6"/>
  <c r="H5" i="6"/>
  <c r="H89" i="6" s="1"/>
  <c r="M7" i="6"/>
  <c r="N10" i="6"/>
  <c r="K29" i="6"/>
  <c r="I40" i="6"/>
  <c r="I45" i="6" s="1"/>
  <c r="H40" i="6"/>
  <c r="J43" i="6"/>
  <c r="K41" i="6"/>
  <c r="I43" i="6"/>
  <c r="J41" i="6"/>
  <c r="H43" i="6"/>
  <c r="I41" i="6"/>
  <c r="K39" i="6"/>
  <c r="G43" i="6"/>
  <c r="S43" i="6" s="1"/>
  <c r="H41" i="6"/>
  <c r="J39" i="6"/>
  <c r="G41" i="6"/>
  <c r="I39" i="6"/>
  <c r="H39" i="6"/>
  <c r="K47" i="6"/>
  <c r="J47" i="6"/>
  <c r="K44" i="6"/>
  <c r="G44" i="6"/>
  <c r="M5" i="6"/>
  <c r="H8" i="6"/>
  <c r="J38" i="6"/>
  <c r="N5" i="6"/>
  <c r="N89" i="6" s="1"/>
  <c r="I8" i="6"/>
  <c r="P33" i="6"/>
  <c r="K38" i="6"/>
  <c r="O41" i="6"/>
  <c r="O44" i="6"/>
  <c r="S80" i="6"/>
  <c r="O5" i="6"/>
  <c r="P8" i="6"/>
  <c r="N38" i="6"/>
  <c r="P5" i="6"/>
  <c r="Q8" i="6"/>
  <c r="Q38" i="6"/>
  <c r="G42" i="6"/>
  <c r="Q5" i="6"/>
  <c r="R8" i="6"/>
  <c r="G30" i="6"/>
  <c r="R38" i="6"/>
  <c r="H42" i="6"/>
  <c r="J30" i="6"/>
  <c r="I42" i="6"/>
  <c r="G6" i="6"/>
  <c r="S6" i="6" s="1"/>
  <c r="G9" i="6"/>
  <c r="S9" i="6" s="1"/>
  <c r="K30" i="6"/>
  <c r="G39" i="6"/>
  <c r="J42" i="6"/>
  <c r="H6" i="6"/>
  <c r="H9" i="6"/>
  <c r="N39" i="6"/>
  <c r="K42" i="6"/>
  <c r="K6" i="6"/>
  <c r="I9" i="6"/>
  <c r="O39" i="6"/>
  <c r="N42" i="6"/>
  <c r="S63" i="6"/>
  <c r="R6" i="6"/>
  <c r="J9" i="6"/>
  <c r="I31" i="6"/>
  <c r="P39" i="6"/>
  <c r="O42" i="6"/>
  <c r="G47" i="6"/>
  <c r="K78" i="6"/>
  <c r="S78" i="6" s="1"/>
  <c r="J16" i="6"/>
  <c r="J23" i="6" s="1"/>
  <c r="H18" i="6"/>
  <c r="H53" i="6"/>
  <c r="S53" i="6" s="1"/>
  <c r="M76" i="6"/>
  <c r="S76" i="6" s="1"/>
  <c r="L78" i="6"/>
  <c r="N80" i="6"/>
  <c r="I82" i="6"/>
  <c r="H77" i="6"/>
  <c r="H82" i="6"/>
  <c r="G77" i="6"/>
  <c r="G82" i="6"/>
  <c r="S82" i="6" s="1"/>
  <c r="J75" i="6"/>
  <c r="M80" i="6"/>
  <c r="Q78" i="6"/>
  <c r="Q84" i="6" s="1"/>
  <c r="L75" i="6"/>
  <c r="L80" i="6"/>
  <c r="P78" i="6"/>
  <c r="P84" i="6" s="1"/>
  <c r="K75" i="6"/>
  <c r="K80" i="6"/>
  <c r="O78" i="6"/>
  <c r="O84" i="6" s="1"/>
  <c r="R76" i="6"/>
  <c r="G79" i="6"/>
  <c r="R82" i="6"/>
  <c r="G57" i="6"/>
  <c r="S57" i="6" s="1"/>
  <c r="L53" i="6"/>
  <c r="L58" i="6" s="1"/>
  <c r="L56" i="6"/>
  <c r="S56" i="6" s="1"/>
  <c r="K53" i="6"/>
  <c r="K58" i="6" s="1"/>
  <c r="J54" i="6"/>
  <c r="S54" i="6" s="1"/>
  <c r="G75" i="6"/>
  <c r="I77" i="6"/>
  <c r="H79" i="6"/>
  <c r="G81" i="6"/>
  <c r="J19" i="6"/>
  <c r="N17" i="6"/>
  <c r="N23" i="6" s="1"/>
  <c r="R15" i="6"/>
  <c r="R20" i="6"/>
  <c r="I19" i="6"/>
  <c r="S19" i="6" s="1"/>
  <c r="M17" i="6"/>
  <c r="M23" i="6" s="1"/>
  <c r="Q15" i="6"/>
  <c r="Q23" i="6" s="1"/>
  <c r="Q16" i="6"/>
  <c r="O18" i="6"/>
  <c r="M20" i="6"/>
  <c r="G51" i="6"/>
  <c r="K54" i="6"/>
  <c r="H75" i="6"/>
  <c r="J77" i="6"/>
  <c r="I79" i="6"/>
  <c r="H81" i="6"/>
  <c r="G15" i="6"/>
  <c r="R16" i="6"/>
  <c r="P18" i="6"/>
  <c r="N20" i="6"/>
  <c r="S20" i="6" s="1"/>
  <c r="H51" i="6"/>
  <c r="H58" i="6" s="1"/>
  <c r="L54" i="6"/>
  <c r="I75" i="6"/>
  <c r="K77" i="6"/>
  <c r="J79" i="6"/>
  <c r="I81" i="6"/>
  <c r="H15" i="6"/>
  <c r="H23" i="6" s="1"/>
  <c r="Q18" i="6"/>
  <c r="O20" i="6"/>
  <c r="O23" i="6" s="1"/>
  <c r="I51" i="6"/>
  <c r="I58" i="6" s="1"/>
  <c r="M75" i="6"/>
  <c r="L77" i="6"/>
  <c r="K79" i="6"/>
  <c r="J81" i="6"/>
  <c r="I15" i="6"/>
  <c r="G17" i="6"/>
  <c r="R18" i="6"/>
  <c r="P20" i="6"/>
  <c r="P23" i="6" s="1"/>
  <c r="J51" i="6"/>
  <c r="J58" i="6" s="1"/>
  <c r="G55" i="6"/>
  <c r="S55" i="6" s="1"/>
  <c r="N75" i="6"/>
  <c r="N84" i="6" s="1"/>
  <c r="M77" i="6"/>
  <c r="L79" i="6"/>
  <c r="K81" i="6"/>
  <c r="I63" i="6"/>
  <c r="I70" i="6" s="1"/>
  <c r="J63" i="6"/>
  <c r="G68" i="6"/>
  <c r="S68" i="6" s="1"/>
  <c r="G61" i="6"/>
  <c r="L62" i="2"/>
  <c r="L70" i="2" s="1"/>
  <c r="M62" i="2"/>
  <c r="M70" i="2" s="1"/>
  <c r="N62" i="2"/>
  <c r="N70" i="2" s="1"/>
  <c r="L72" i="2"/>
  <c r="M72" i="2"/>
  <c r="N72" i="2"/>
  <c r="P72" i="2"/>
  <c r="Q72" i="2"/>
  <c r="O62" i="2"/>
  <c r="O70" i="2" s="1"/>
  <c r="P62" i="2"/>
  <c r="P70" i="2" s="1"/>
  <c r="Q62" i="2"/>
  <c r="Q70" i="2" s="1"/>
  <c r="R62" i="2"/>
  <c r="R70" i="2" s="1"/>
  <c r="O72" i="2"/>
  <c r="I68" i="2"/>
  <c r="J68" i="2"/>
  <c r="K68" i="2"/>
  <c r="K70" i="2" s="1"/>
  <c r="M81" i="2"/>
  <c r="M79" i="2"/>
  <c r="I81" i="2"/>
  <c r="R78" i="2"/>
  <c r="Q78" i="2"/>
  <c r="J80" i="2"/>
  <c r="P78" i="2"/>
  <c r="I80" i="2"/>
  <c r="O78" i="2"/>
  <c r="N78" i="2"/>
  <c r="J79" i="2"/>
  <c r="M78" i="2"/>
  <c r="I79" i="2"/>
  <c r="R77" i="2"/>
  <c r="Q77" i="2"/>
  <c r="J78" i="2"/>
  <c r="P77" i="2"/>
  <c r="I78" i="2"/>
  <c r="O77" i="2"/>
  <c r="L80" i="2"/>
  <c r="O75" i="2"/>
  <c r="L79" i="2"/>
  <c r="N75" i="2"/>
  <c r="L78" i="2"/>
  <c r="M75" i="2"/>
  <c r="L77" i="2"/>
  <c r="K75" i="2"/>
  <c r="K76" i="2"/>
  <c r="R81" i="2"/>
  <c r="K77" i="2"/>
  <c r="Q81" i="2"/>
  <c r="K78" i="2"/>
  <c r="P81" i="2"/>
  <c r="K79" i="2"/>
  <c r="O81" i="2"/>
  <c r="K80" i="2"/>
  <c r="N81" i="2"/>
  <c r="K81" i="2"/>
  <c r="J77" i="2"/>
  <c r="R80" i="2"/>
  <c r="N77" i="2"/>
  <c r="I77" i="2"/>
  <c r="Q80" i="2"/>
  <c r="M77" i="2"/>
  <c r="P80" i="2"/>
  <c r="J76" i="2"/>
  <c r="O80" i="2"/>
  <c r="I76" i="2"/>
  <c r="N80" i="2"/>
  <c r="M80" i="2"/>
  <c r="J75" i="2"/>
  <c r="R79" i="2"/>
  <c r="I75" i="2"/>
  <c r="Q79" i="2"/>
  <c r="P79" i="2"/>
  <c r="R75" i="2"/>
  <c r="L75" i="2"/>
  <c r="O79" i="2"/>
  <c r="Q75" i="2"/>
  <c r="J81" i="2"/>
  <c r="L81" i="2"/>
  <c r="N79" i="2"/>
  <c r="J66" i="2"/>
  <c r="I66" i="2"/>
  <c r="J62" i="2"/>
  <c r="I62" i="2"/>
  <c r="I72" i="2"/>
  <c r="J72" i="2"/>
  <c r="K72" i="2"/>
  <c r="J64" i="2"/>
  <c r="I64" i="2"/>
  <c r="J67" i="2"/>
  <c r="J65" i="2"/>
  <c r="J63" i="2"/>
  <c r="J61" i="2"/>
  <c r="I67" i="2"/>
  <c r="I65" i="2"/>
  <c r="I63" i="2"/>
  <c r="I61" i="2"/>
  <c r="J56" i="2"/>
  <c r="I56" i="2"/>
  <c r="K55" i="2"/>
  <c r="J55" i="2"/>
  <c r="I55" i="2"/>
  <c r="K54" i="2"/>
  <c r="J54" i="2"/>
  <c r="L51" i="2"/>
  <c r="L52" i="2"/>
  <c r="L53" i="2"/>
  <c r="L54" i="2"/>
  <c r="L55" i="2"/>
  <c r="L56" i="2"/>
  <c r="L57" i="2"/>
  <c r="O43" i="2"/>
  <c r="I54" i="2"/>
  <c r="K53" i="2"/>
  <c r="J53" i="2"/>
  <c r="I53" i="2"/>
  <c r="K52" i="2"/>
  <c r="J52" i="2"/>
  <c r="K57" i="2"/>
  <c r="I52" i="2"/>
  <c r="J57" i="2"/>
  <c r="I57" i="2"/>
  <c r="K51" i="2"/>
  <c r="J51" i="2"/>
  <c r="K56" i="2"/>
  <c r="J47" i="2"/>
  <c r="P39" i="2"/>
  <c r="I39" i="2"/>
  <c r="M43" i="2"/>
  <c r="R42" i="2"/>
  <c r="N39" i="2"/>
  <c r="J38" i="2"/>
  <c r="Q42" i="2"/>
  <c r="R38" i="2"/>
  <c r="L38" i="2"/>
  <c r="Q38" i="2"/>
  <c r="L39" i="2"/>
  <c r="J42" i="2"/>
  <c r="Q44" i="2"/>
  <c r="M41" i="2"/>
  <c r="P47" i="2"/>
  <c r="I42" i="2"/>
  <c r="P44" i="2"/>
  <c r="R40" i="2"/>
  <c r="Q47" i="2"/>
  <c r="O44" i="2"/>
  <c r="Q40" i="2"/>
  <c r="R47" i="2"/>
  <c r="J41" i="2"/>
  <c r="N44" i="2"/>
  <c r="P40" i="2"/>
  <c r="I41" i="2"/>
  <c r="M44" i="2"/>
  <c r="O40" i="2"/>
  <c r="I44" i="2"/>
  <c r="L41" i="2"/>
  <c r="N38" i="2"/>
  <c r="K41" i="2"/>
  <c r="L42" i="2"/>
  <c r="Q41" i="2"/>
  <c r="M58" i="2"/>
  <c r="J43" i="2"/>
  <c r="K40" i="2"/>
  <c r="L43" i="2"/>
  <c r="P41" i="2"/>
  <c r="M47" i="2"/>
  <c r="I43" i="2"/>
  <c r="K39" i="2"/>
  <c r="L44" i="2"/>
  <c r="O41" i="2"/>
  <c r="N47" i="2"/>
  <c r="K38" i="2"/>
  <c r="R44" i="2"/>
  <c r="N41" i="2"/>
  <c r="O47" i="2"/>
  <c r="R43" i="2"/>
  <c r="N40" i="2"/>
  <c r="J40" i="2"/>
  <c r="Q43" i="2"/>
  <c r="M40" i="2"/>
  <c r="L47" i="2"/>
  <c r="J39" i="2"/>
  <c r="N43" i="2"/>
  <c r="I47" i="2"/>
  <c r="O39" i="2"/>
  <c r="M39" i="2"/>
  <c r="I38" i="2"/>
  <c r="P42" i="2"/>
  <c r="O42" i="2"/>
  <c r="K44" i="2"/>
  <c r="N42" i="2"/>
  <c r="P38" i="2"/>
  <c r="J44" i="2"/>
  <c r="K43" i="2"/>
  <c r="L40" i="2"/>
  <c r="M42" i="2"/>
  <c r="O38" i="2"/>
  <c r="K42" i="2"/>
  <c r="R41" i="2"/>
  <c r="M38" i="2"/>
  <c r="I40" i="2"/>
  <c r="P43" i="2"/>
  <c r="R39" i="2"/>
  <c r="K47" i="2"/>
  <c r="J5" i="2"/>
  <c r="J10" i="2"/>
  <c r="J9" i="2"/>
  <c r="J8" i="2"/>
  <c r="J7" i="2"/>
  <c r="J6" i="2"/>
  <c r="R35" i="2"/>
  <c r="Q35" i="2"/>
  <c r="P35" i="2"/>
  <c r="O35" i="2"/>
  <c r="N35" i="2"/>
  <c r="M35" i="2"/>
  <c r="L35" i="2"/>
  <c r="K35" i="2"/>
  <c r="J35" i="2"/>
  <c r="I35" i="2"/>
  <c r="O6" i="2"/>
  <c r="N6" i="2"/>
  <c r="R8" i="2"/>
  <c r="L6" i="2"/>
  <c r="Q8" i="2"/>
  <c r="K6" i="2"/>
  <c r="P8" i="2"/>
  <c r="R5" i="2"/>
  <c r="O8" i="2"/>
  <c r="Q5" i="2"/>
  <c r="N8" i="2"/>
  <c r="P5" i="2"/>
  <c r="M8" i="2"/>
  <c r="O5" i="2"/>
  <c r="R10" i="2"/>
  <c r="L8" i="2"/>
  <c r="N5" i="2"/>
  <c r="Q10" i="2"/>
  <c r="K8" i="2"/>
  <c r="M5" i="2"/>
  <c r="P10" i="2"/>
  <c r="R7" i="2"/>
  <c r="L5" i="2"/>
  <c r="R4" i="2"/>
  <c r="N9" i="2"/>
  <c r="M9" i="2"/>
  <c r="L9" i="2"/>
  <c r="M6" i="2"/>
  <c r="O10" i="2"/>
  <c r="Q7" i="2"/>
  <c r="P7" i="2"/>
  <c r="M10" i="2"/>
  <c r="O7" i="2"/>
  <c r="P4" i="2"/>
  <c r="O4" i="2"/>
  <c r="L7" i="2"/>
  <c r="Q9" i="2"/>
  <c r="M4" i="2"/>
  <c r="P9" i="2"/>
  <c r="R6" i="2"/>
  <c r="L4" i="2"/>
  <c r="P6" i="2"/>
  <c r="K9" i="2"/>
  <c r="K5" i="2"/>
  <c r="N10" i="2"/>
  <c r="Q4" i="2"/>
  <c r="L10" i="2"/>
  <c r="N7" i="2"/>
  <c r="K10" i="2"/>
  <c r="M7" i="2"/>
  <c r="R9" i="2"/>
  <c r="N4" i="2"/>
  <c r="K7" i="2"/>
  <c r="O9" i="2"/>
  <c r="Q6" i="2"/>
  <c r="K4" i="2"/>
  <c r="J4" i="2"/>
  <c r="Q31" i="2"/>
  <c r="Q29" i="2"/>
  <c r="Q27" i="2"/>
  <c r="P31" i="2"/>
  <c r="P29" i="2"/>
  <c r="P27" i="2"/>
  <c r="O31" i="2"/>
  <c r="O29" i="2"/>
  <c r="O27" i="2"/>
  <c r="N31" i="2"/>
  <c r="N29" i="2"/>
  <c r="N27" i="2"/>
  <c r="M31" i="2"/>
  <c r="M29" i="2"/>
  <c r="M27" i="2"/>
  <c r="L31" i="2"/>
  <c r="L29" i="2"/>
  <c r="L27" i="2"/>
  <c r="K31" i="2"/>
  <c r="K29" i="2"/>
  <c r="K27" i="2"/>
  <c r="J31" i="2"/>
  <c r="J29" i="2"/>
  <c r="J27" i="2"/>
  <c r="I31" i="2"/>
  <c r="I29" i="2"/>
  <c r="I27" i="2"/>
  <c r="R32" i="2"/>
  <c r="R30" i="2"/>
  <c r="R28" i="2"/>
  <c r="R26" i="2"/>
  <c r="Q32" i="2"/>
  <c r="Q30" i="2"/>
  <c r="Q28" i="2"/>
  <c r="Q26" i="2"/>
  <c r="P32" i="2"/>
  <c r="P30" i="2"/>
  <c r="P28" i="2"/>
  <c r="P26" i="2"/>
  <c r="O32" i="2"/>
  <c r="O30" i="2"/>
  <c r="O28" i="2"/>
  <c r="O26" i="2"/>
  <c r="N32" i="2"/>
  <c r="N30" i="2"/>
  <c r="N28" i="2"/>
  <c r="N26" i="2"/>
  <c r="M32" i="2"/>
  <c r="M30" i="2"/>
  <c r="M28" i="2"/>
  <c r="M26" i="2"/>
  <c r="L32" i="2"/>
  <c r="L30" i="2"/>
  <c r="L28" i="2"/>
  <c r="L26" i="2"/>
  <c r="K32" i="2"/>
  <c r="K30" i="2"/>
  <c r="K28" i="2"/>
  <c r="K26" i="2"/>
  <c r="J32" i="2"/>
  <c r="J30" i="2"/>
  <c r="J28" i="2"/>
  <c r="J26" i="2"/>
  <c r="I32" i="2"/>
  <c r="I30" i="2"/>
  <c r="I28" i="2"/>
  <c r="I26" i="2"/>
  <c r="R31" i="2"/>
  <c r="R29" i="2"/>
  <c r="N21" i="2"/>
  <c r="R20" i="2"/>
  <c r="Q20" i="2"/>
  <c r="O19" i="2"/>
  <c r="N19" i="2"/>
  <c r="Q18" i="2"/>
  <c r="P18" i="2"/>
  <c r="N17" i="2"/>
  <c r="M17" i="2"/>
  <c r="R16" i="2"/>
  <c r="Q16" i="2"/>
  <c r="P16" i="2"/>
  <c r="O21" i="2"/>
  <c r="M21" i="2"/>
  <c r="P20" i="2"/>
  <c r="M19" i="2"/>
  <c r="R18" i="2"/>
  <c r="O17" i="2"/>
  <c r="O15" i="2"/>
  <c r="N15" i="2"/>
  <c r="M15" i="2"/>
  <c r="O20" i="2"/>
  <c r="O18" i="2"/>
  <c r="O16" i="2"/>
  <c r="N20" i="2"/>
  <c r="N18" i="2"/>
  <c r="N16" i="2"/>
  <c r="M20" i="2"/>
  <c r="M18" i="2"/>
  <c r="M16" i="2"/>
  <c r="L20" i="2"/>
  <c r="L18" i="2"/>
  <c r="L16" i="2"/>
  <c r="K20" i="2"/>
  <c r="K18" i="2"/>
  <c r="K16" i="2"/>
  <c r="J20" i="2"/>
  <c r="J18" i="2"/>
  <c r="J16" i="2"/>
  <c r="I20" i="2"/>
  <c r="I18" i="2"/>
  <c r="I16" i="2"/>
  <c r="R21" i="2"/>
  <c r="R19" i="2"/>
  <c r="R17" i="2"/>
  <c r="R15" i="2"/>
  <c r="Q21" i="2"/>
  <c r="Q19" i="2"/>
  <c r="Q17" i="2"/>
  <c r="Q15" i="2"/>
  <c r="P21" i="2"/>
  <c r="P19" i="2"/>
  <c r="P17" i="2"/>
  <c r="P15" i="2"/>
  <c r="L21" i="2"/>
  <c r="L19" i="2"/>
  <c r="L17" i="2"/>
  <c r="L15" i="2"/>
  <c r="K21" i="2"/>
  <c r="K19" i="2"/>
  <c r="K17" i="2"/>
  <c r="K15" i="2"/>
  <c r="J21" i="2"/>
  <c r="J19" i="2"/>
  <c r="J17" i="2"/>
  <c r="J15" i="2"/>
  <c r="I21" i="2"/>
  <c r="I19" i="2"/>
  <c r="I17" i="2"/>
  <c r="I15" i="2"/>
  <c r="I9" i="2"/>
  <c r="I7" i="2"/>
  <c r="I5" i="2"/>
  <c r="I10" i="2"/>
  <c r="I8" i="2"/>
  <c r="I6" i="2"/>
  <c r="I4" i="2"/>
  <c r="B83" i="1" l="1"/>
  <c r="B85" i="1" s="1"/>
  <c r="D87" i="1" s="1"/>
  <c r="C83" i="1"/>
  <c r="C85" i="1" s="1"/>
  <c r="D83" i="1"/>
  <c r="D85" i="1" s="1"/>
  <c r="K83" i="1"/>
  <c r="G83" i="1"/>
  <c r="G85" i="1" s="1"/>
  <c r="E83" i="1"/>
  <c r="E85" i="1" s="1"/>
  <c r="H83" i="1"/>
  <c r="H85" i="1" s="1"/>
  <c r="I83" i="1"/>
  <c r="I85" i="1" s="1"/>
  <c r="J83" i="1"/>
  <c r="J85" i="1" s="1"/>
  <c r="K85" i="1"/>
  <c r="F83" i="1"/>
  <c r="F85" i="1" s="1"/>
  <c r="G88" i="2"/>
  <c r="G90" i="2" s="1"/>
  <c r="H45" i="2"/>
  <c r="H12" i="2"/>
  <c r="H88" i="2" s="1"/>
  <c r="H90" i="2" s="1"/>
  <c r="J89" i="2"/>
  <c r="I89" i="2"/>
  <c r="L89" i="2"/>
  <c r="G33" i="2"/>
  <c r="G89" i="2"/>
  <c r="J84" i="2"/>
  <c r="K89" i="2"/>
  <c r="M89" i="2"/>
  <c r="P84" i="2"/>
  <c r="N89" i="2"/>
  <c r="O89" i="2"/>
  <c r="M84" i="2"/>
  <c r="P89" i="2"/>
  <c r="N84" i="2"/>
  <c r="Q84" i="2"/>
  <c r="Q89" i="2"/>
  <c r="O84" i="2"/>
  <c r="L84" i="2"/>
  <c r="R89" i="2"/>
  <c r="R84" i="2"/>
  <c r="K84" i="2"/>
  <c r="I84" i="2"/>
  <c r="S82" i="2"/>
  <c r="O27" i="13"/>
  <c r="O31" i="13"/>
  <c r="O33" i="13"/>
  <c r="O34" i="13"/>
  <c r="C36" i="13"/>
  <c r="O30" i="13"/>
  <c r="H36" i="13"/>
  <c r="I36" i="13"/>
  <c r="G36" i="13"/>
  <c r="O18" i="13"/>
  <c r="E36" i="13"/>
  <c r="D36" i="13"/>
  <c r="F36" i="13"/>
  <c r="L10" i="11"/>
  <c r="O8" i="11"/>
  <c r="M10" i="11"/>
  <c r="K10" i="11"/>
  <c r="J10" i="11"/>
  <c r="I10" i="11"/>
  <c r="O7" i="11"/>
  <c r="O6" i="11"/>
  <c r="O10" i="11" s="1"/>
  <c r="J10" i="10"/>
  <c r="O6" i="10"/>
  <c r="N10" i="10"/>
  <c r="M10" i="10"/>
  <c r="L10" i="10"/>
  <c r="I10" i="10"/>
  <c r="D10" i="10"/>
  <c r="K10" i="10"/>
  <c r="E10" i="10"/>
  <c r="O8" i="10"/>
  <c r="O7" i="10"/>
  <c r="C10" i="10"/>
  <c r="J11" i="9"/>
  <c r="L11" i="9"/>
  <c r="F11" i="9"/>
  <c r="E11" i="9"/>
  <c r="D11" i="9"/>
  <c r="O7" i="9"/>
  <c r="I11" i="9"/>
  <c r="O5" i="9"/>
  <c r="C11" i="9"/>
  <c r="K11" i="9"/>
  <c r="H11" i="9"/>
  <c r="J36" i="4"/>
  <c r="O36" i="4"/>
  <c r="C36" i="4"/>
  <c r="O27" i="4"/>
  <c r="O18" i="4"/>
  <c r="S47" i="7"/>
  <c r="L89" i="7"/>
  <c r="S4" i="7"/>
  <c r="G12" i="7"/>
  <c r="M84" i="7"/>
  <c r="N88" i="7"/>
  <c r="N90" i="7" s="1"/>
  <c r="S42" i="7"/>
  <c r="S8" i="7"/>
  <c r="S16" i="7"/>
  <c r="S80" i="7"/>
  <c r="R12" i="7"/>
  <c r="S31" i="7"/>
  <c r="P33" i="7"/>
  <c r="S57" i="7"/>
  <c r="S21" i="7"/>
  <c r="K23" i="7"/>
  <c r="K88" i="7" s="1"/>
  <c r="K90" i="7" s="1"/>
  <c r="M45" i="7"/>
  <c r="L58" i="7"/>
  <c r="J89" i="7"/>
  <c r="Q84" i="7"/>
  <c r="S30" i="7"/>
  <c r="H70" i="7"/>
  <c r="S53" i="7"/>
  <c r="S58" i="7" s="1"/>
  <c r="H33" i="7"/>
  <c r="R45" i="7"/>
  <c r="K33" i="7"/>
  <c r="S72" i="7"/>
  <c r="K89" i="7"/>
  <c r="J70" i="7"/>
  <c r="J88" i="7"/>
  <c r="S35" i="7"/>
  <c r="S27" i="7"/>
  <c r="G23" i="7"/>
  <c r="S15" i="7"/>
  <c r="S18" i="7"/>
  <c r="S29" i="7"/>
  <c r="J33" i="7"/>
  <c r="G58" i="7"/>
  <c r="G45" i="7"/>
  <c r="S38" i="7"/>
  <c r="S9" i="7"/>
  <c r="M33" i="7"/>
  <c r="O23" i="7"/>
  <c r="O88" i="7" s="1"/>
  <c r="O90" i="7" s="1"/>
  <c r="J84" i="7"/>
  <c r="S78" i="7"/>
  <c r="S84" i="7" s="1"/>
  <c r="S62" i="7"/>
  <c r="N23" i="7"/>
  <c r="S17" i="7"/>
  <c r="S39" i="7"/>
  <c r="H58" i="7"/>
  <c r="Q45" i="7"/>
  <c r="P89" i="7"/>
  <c r="I33" i="7"/>
  <c r="S43" i="7"/>
  <c r="I58" i="7"/>
  <c r="I23" i="7"/>
  <c r="L23" i="7"/>
  <c r="L88" i="7" s="1"/>
  <c r="L90" i="7" s="1"/>
  <c r="R89" i="7"/>
  <c r="G33" i="7"/>
  <c r="S26" i="7"/>
  <c r="S61" i="7"/>
  <c r="G70" i="7"/>
  <c r="O89" i="7"/>
  <c r="H12" i="7"/>
  <c r="I70" i="7"/>
  <c r="S41" i="7"/>
  <c r="N33" i="7"/>
  <c r="J58" i="7"/>
  <c r="P23" i="7"/>
  <c r="P88" i="7" s="1"/>
  <c r="R23" i="7"/>
  <c r="H84" i="7"/>
  <c r="Q33" i="7"/>
  <c r="L84" i="7"/>
  <c r="I12" i="7"/>
  <c r="S6" i="7"/>
  <c r="L33" i="7"/>
  <c r="O33" i="7"/>
  <c r="S68" i="7"/>
  <c r="J84" i="6"/>
  <c r="S81" i="6"/>
  <c r="J45" i="6"/>
  <c r="K12" i="6"/>
  <c r="L12" i="6"/>
  <c r="M12" i="6"/>
  <c r="K89" i="6"/>
  <c r="I33" i="6"/>
  <c r="G84" i="6"/>
  <c r="S75" i="6"/>
  <c r="Q89" i="6"/>
  <c r="S42" i="6"/>
  <c r="O33" i="6"/>
  <c r="M33" i="6"/>
  <c r="L84" i="6"/>
  <c r="R88" i="6"/>
  <c r="R90" i="6" s="1"/>
  <c r="O45" i="6"/>
  <c r="S61" i="6"/>
  <c r="S70" i="6" s="1"/>
  <c r="G70" i="6"/>
  <c r="K45" i="6"/>
  <c r="G89" i="6"/>
  <c r="S5" i="6"/>
  <c r="H45" i="6"/>
  <c r="R23" i="6"/>
  <c r="S4" i="6"/>
  <c r="G12" i="6"/>
  <c r="M45" i="6"/>
  <c r="P45" i="6"/>
  <c r="I84" i="6"/>
  <c r="R45" i="6"/>
  <c r="K33" i="6"/>
  <c r="S77" i="6"/>
  <c r="S30" i="6"/>
  <c r="G23" i="6"/>
  <c r="S15" i="6"/>
  <c r="Q45" i="6"/>
  <c r="J12" i="6"/>
  <c r="J88" i="6" s="1"/>
  <c r="J90" i="6" s="1"/>
  <c r="O12" i="6"/>
  <c r="I89" i="6"/>
  <c r="M89" i="6"/>
  <c r="S31" i="6"/>
  <c r="N12" i="6"/>
  <c r="G45" i="6"/>
  <c r="S38" i="6"/>
  <c r="S44" i="6"/>
  <c r="S32" i="6"/>
  <c r="S17" i="6"/>
  <c r="S18" i="6"/>
  <c r="P89" i="6"/>
  <c r="S35" i="6"/>
  <c r="I23" i="6"/>
  <c r="H84" i="6"/>
  <c r="N45" i="6"/>
  <c r="R33" i="6"/>
  <c r="P12" i="6"/>
  <c r="P88" i="6" s="1"/>
  <c r="J33" i="6"/>
  <c r="S79" i="6"/>
  <c r="I12" i="6"/>
  <c r="I88" i="6" s="1"/>
  <c r="S16" i="6"/>
  <c r="G58" i="6"/>
  <c r="S51" i="6"/>
  <c r="S58" i="6" s="1"/>
  <c r="Q33" i="6"/>
  <c r="S39" i="6"/>
  <c r="M84" i="6"/>
  <c r="S47" i="6"/>
  <c r="S41" i="6"/>
  <c r="H12" i="6"/>
  <c r="Q12" i="6"/>
  <c r="N33" i="6"/>
  <c r="J89" i="6"/>
  <c r="K84" i="6"/>
  <c r="O89" i="6"/>
  <c r="S26" i="6"/>
  <c r="G33" i="6"/>
  <c r="S8" i="6"/>
  <c r="I70" i="2"/>
  <c r="J70" i="2"/>
  <c r="S68" i="2"/>
  <c r="S69" i="2"/>
  <c r="J33" i="2"/>
  <c r="S78" i="2"/>
  <c r="S75" i="2"/>
  <c r="S79" i="2"/>
  <c r="S77" i="2"/>
  <c r="S76" i="2"/>
  <c r="S81" i="2"/>
  <c r="S80" i="2"/>
  <c r="S62" i="2"/>
  <c r="S63" i="2"/>
  <c r="S66" i="2"/>
  <c r="S72" i="2"/>
  <c r="S65" i="2"/>
  <c r="S61" i="2"/>
  <c r="S67" i="2"/>
  <c r="S64" i="2"/>
  <c r="S39" i="2"/>
  <c r="S43" i="2"/>
  <c r="I33" i="2"/>
  <c r="S57" i="2"/>
  <c r="L33" i="2"/>
  <c r="S41" i="2"/>
  <c r="S38" i="2"/>
  <c r="S44" i="2"/>
  <c r="K45" i="2"/>
  <c r="O45" i="2"/>
  <c r="S40" i="2"/>
  <c r="P45" i="2"/>
  <c r="Q45" i="2"/>
  <c r="K33" i="2"/>
  <c r="I58" i="2"/>
  <c r="S54" i="2"/>
  <c r="O58" i="2"/>
  <c r="N58" i="2"/>
  <c r="S55" i="2"/>
  <c r="S53" i="2"/>
  <c r="S51" i="2"/>
  <c r="L58" i="2"/>
  <c r="K58" i="2"/>
  <c r="S56" i="2"/>
  <c r="R45" i="2"/>
  <c r="N33" i="2"/>
  <c r="S42" i="2"/>
  <c r="N45" i="2"/>
  <c r="I45" i="2"/>
  <c r="P33" i="2"/>
  <c r="J58" i="2"/>
  <c r="Q33" i="2"/>
  <c r="S52" i="2"/>
  <c r="P58" i="2"/>
  <c r="R33" i="2"/>
  <c r="L45" i="2"/>
  <c r="Q58" i="2"/>
  <c r="O33" i="2"/>
  <c r="J45" i="2"/>
  <c r="R58" i="2"/>
  <c r="M45" i="2"/>
  <c r="S47" i="2"/>
  <c r="M33" i="2"/>
  <c r="S35" i="2"/>
  <c r="S32" i="2"/>
  <c r="S26" i="2"/>
  <c r="S31" i="2"/>
  <c r="S30" i="2"/>
  <c r="S28" i="2"/>
  <c r="S27" i="2"/>
  <c r="S29" i="2"/>
  <c r="N12" i="2"/>
  <c r="N23" i="2"/>
  <c r="S9" i="2"/>
  <c r="R12" i="2"/>
  <c r="S6" i="2"/>
  <c r="I12" i="2"/>
  <c r="S5" i="2"/>
  <c r="S4" i="2"/>
  <c r="O12" i="2"/>
  <c r="P12" i="2"/>
  <c r="S10" i="2"/>
  <c r="L12" i="2"/>
  <c r="M12" i="2"/>
  <c r="Q12" i="2"/>
  <c r="S18" i="2"/>
  <c r="M23" i="2"/>
  <c r="O23" i="2"/>
  <c r="I23" i="2"/>
  <c r="S20" i="2"/>
  <c r="L23" i="2"/>
  <c r="K23" i="2"/>
  <c r="P23" i="2"/>
  <c r="S15" i="2"/>
  <c r="R23" i="2"/>
  <c r="S7" i="2"/>
  <c r="J12" i="2"/>
  <c r="J23" i="2"/>
  <c r="S17" i="2"/>
  <c r="S8" i="2"/>
  <c r="Q23" i="2"/>
  <c r="K12" i="2"/>
  <c r="S21" i="2"/>
  <c r="S19" i="2"/>
  <c r="S16" i="2"/>
  <c r="I88" i="2" l="1"/>
  <c r="I90" i="2" s="1"/>
  <c r="Q88" i="2"/>
  <c r="Q90" i="2" s="1"/>
  <c r="M88" i="2"/>
  <c r="M90" i="2" s="1"/>
  <c r="L88" i="2"/>
  <c r="L90" i="2" s="1"/>
  <c r="P88" i="2"/>
  <c r="P90" i="2" s="1"/>
  <c r="K88" i="2"/>
  <c r="K90" i="2" s="1"/>
  <c r="O88" i="2"/>
  <c r="O90" i="2" s="1"/>
  <c r="R88" i="2"/>
  <c r="R90" i="2" s="1"/>
  <c r="J88" i="2"/>
  <c r="J90" i="2" s="1"/>
  <c r="N88" i="2"/>
  <c r="N90" i="2" s="1"/>
  <c r="O36" i="13"/>
  <c r="O10" i="10"/>
  <c r="O11" i="9"/>
  <c r="R88" i="7"/>
  <c r="R90" i="7" s="1"/>
  <c r="M88" i="7"/>
  <c r="M90" i="7" s="1"/>
  <c r="J90" i="7"/>
  <c r="Q88" i="7"/>
  <c r="Q90" i="7" s="1"/>
  <c r="P90" i="7"/>
  <c r="P90" i="6"/>
  <c r="N88" i="6"/>
  <c r="N90" i="6" s="1"/>
  <c r="S23" i="7"/>
  <c r="S24" i="7" s="1"/>
  <c r="I88" i="7"/>
  <c r="I90" i="7" s="1"/>
  <c r="G88" i="7"/>
  <c r="G90" i="7" s="1"/>
  <c r="S12" i="7"/>
  <c r="S13" i="7" s="1"/>
  <c r="H88" i="7"/>
  <c r="H90" i="7" s="1"/>
  <c r="S45" i="7"/>
  <c r="S70" i="7"/>
  <c r="S33" i="7"/>
  <c r="S45" i="6"/>
  <c r="O88" i="6"/>
  <c r="O90" i="6" s="1"/>
  <c r="I90" i="6"/>
  <c r="S23" i="6"/>
  <c r="S24" i="6" s="1"/>
  <c r="S84" i="6"/>
  <c r="S33" i="6"/>
  <c r="M88" i="6"/>
  <c r="M90" i="6" s="1"/>
  <c r="L90" i="6"/>
  <c r="G88" i="6"/>
  <c r="G90" i="6" s="1"/>
  <c r="K88" i="6"/>
  <c r="K90" i="6" s="1"/>
  <c r="S12" i="6"/>
  <c r="S13" i="6" s="1"/>
  <c r="Q88" i="6"/>
  <c r="Q90" i="6" s="1"/>
  <c r="H88" i="6"/>
  <c r="H90" i="6" s="1"/>
  <c r="S84" i="2"/>
  <c r="S70" i="2"/>
  <c r="S45" i="2"/>
  <c r="S58" i="2"/>
  <c r="S33" i="2"/>
  <c r="S12" i="2"/>
  <c r="S13" i="2" s="1"/>
  <c r="S23" i="2"/>
  <c r="S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 Altincik</author>
  </authors>
  <commentList>
    <comment ref="E37" authorId="0" shapeId="0" xr:uid="{E2D854A9-E291-4A6F-9330-AF8B745873B8}">
      <text>
        <r>
          <rPr>
            <b/>
            <sz val="9"/>
            <color indexed="81"/>
            <rFont val="Tahoma"/>
            <family val="2"/>
          </rPr>
          <t>Josh Altincik:</t>
        </r>
        <r>
          <rPr>
            <sz val="9"/>
            <color indexed="81"/>
            <rFont val="Tahoma"/>
            <family val="2"/>
          </rPr>
          <t xml:space="preserve">
Freelancer effective 2/3/26</t>
        </r>
      </text>
    </comment>
    <comment ref="E60" authorId="0" shapeId="0" xr:uid="{29310128-0760-452F-9834-52B534C4D8B3}">
      <text>
        <r>
          <rPr>
            <b/>
            <sz val="9"/>
            <color indexed="81"/>
            <rFont val="Tahoma"/>
            <family val="2"/>
          </rPr>
          <t>Josh Altincik:</t>
        </r>
        <r>
          <rPr>
            <sz val="9"/>
            <color indexed="81"/>
            <rFont val="Tahoma"/>
            <family val="2"/>
          </rPr>
          <t xml:space="preserve">
Freelance from 15/2/26</t>
        </r>
      </text>
    </comment>
    <comment ref="E74" authorId="0" shapeId="0" xr:uid="{2533F6DC-FDEB-4575-802D-5DBAF99F57C6}">
      <text>
        <r>
          <rPr>
            <b/>
            <sz val="9"/>
            <color indexed="81"/>
            <rFont val="Tahoma"/>
            <family val="2"/>
          </rPr>
          <t>Josh Altincik:</t>
        </r>
        <r>
          <rPr>
            <sz val="9"/>
            <color indexed="81"/>
            <rFont val="Tahoma"/>
            <family val="2"/>
          </rPr>
          <t xml:space="preserve">
Freelance from 15/2/26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 Altincik</author>
  </authors>
  <commentList>
    <comment ref="E37" authorId="0" shapeId="0" xr:uid="{69F488D2-3BBC-4425-856B-6D7D9B0B9D90}">
      <text>
        <r>
          <rPr>
            <b/>
            <sz val="9"/>
            <color indexed="81"/>
            <rFont val="Tahoma"/>
            <family val="2"/>
          </rPr>
          <t>Josh Altincik:</t>
        </r>
        <r>
          <rPr>
            <sz val="9"/>
            <color indexed="81"/>
            <rFont val="Tahoma"/>
            <family val="2"/>
          </rPr>
          <t xml:space="preserve">
Freelancer effective 2/3/26</t>
        </r>
      </text>
    </comment>
    <comment ref="E60" authorId="0" shapeId="0" xr:uid="{74A56C0F-6BB7-45C6-99C3-9CE795305D9B}">
      <text>
        <r>
          <rPr>
            <b/>
            <sz val="9"/>
            <color indexed="81"/>
            <rFont val="Tahoma"/>
            <family val="2"/>
          </rPr>
          <t>Josh Altincik:</t>
        </r>
        <r>
          <rPr>
            <sz val="9"/>
            <color indexed="81"/>
            <rFont val="Tahoma"/>
            <family val="2"/>
          </rPr>
          <t xml:space="preserve">
Freelance from 15/2/26</t>
        </r>
      </text>
    </comment>
    <comment ref="E74" authorId="0" shapeId="0" xr:uid="{BEF5F5B2-2AFC-46D4-B3C3-206F41C4411C}">
      <text>
        <r>
          <rPr>
            <b/>
            <sz val="9"/>
            <color indexed="81"/>
            <rFont val="Tahoma"/>
            <family val="2"/>
          </rPr>
          <t>Josh Altincik:</t>
        </r>
        <r>
          <rPr>
            <sz val="9"/>
            <color indexed="81"/>
            <rFont val="Tahoma"/>
            <family val="2"/>
          </rPr>
          <t xml:space="preserve">
Freelance from 15/2/26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 Altincik</author>
  </authors>
  <commentList>
    <comment ref="E37" authorId="0" shapeId="0" xr:uid="{54C17B6A-CBB6-4093-B686-23AD4059BC9B}">
      <text>
        <r>
          <rPr>
            <b/>
            <sz val="9"/>
            <color indexed="81"/>
            <rFont val="Tahoma"/>
            <family val="2"/>
          </rPr>
          <t>Josh Altincik:</t>
        </r>
        <r>
          <rPr>
            <sz val="9"/>
            <color indexed="81"/>
            <rFont val="Tahoma"/>
            <family val="2"/>
          </rPr>
          <t xml:space="preserve">
Freelancer effective 2/3/26</t>
        </r>
      </text>
    </comment>
    <comment ref="E60" authorId="0" shapeId="0" xr:uid="{11ADAA93-4BF4-4766-9712-BC8FB26EB4F4}">
      <text>
        <r>
          <rPr>
            <b/>
            <sz val="9"/>
            <color indexed="81"/>
            <rFont val="Tahoma"/>
            <family val="2"/>
          </rPr>
          <t>Josh Altincik:</t>
        </r>
        <r>
          <rPr>
            <sz val="9"/>
            <color indexed="81"/>
            <rFont val="Tahoma"/>
            <family val="2"/>
          </rPr>
          <t xml:space="preserve">
Freelance from 15/2/26</t>
        </r>
      </text>
    </comment>
    <comment ref="E74" authorId="0" shapeId="0" xr:uid="{77011A9F-838D-4296-8F1B-5F9CEB1D2B58}">
      <text>
        <r>
          <rPr>
            <b/>
            <sz val="9"/>
            <color indexed="81"/>
            <rFont val="Tahoma"/>
            <family val="2"/>
          </rPr>
          <t>Josh Altincik:</t>
        </r>
        <r>
          <rPr>
            <sz val="9"/>
            <color indexed="81"/>
            <rFont val="Tahoma"/>
            <family val="2"/>
          </rPr>
          <t xml:space="preserve">
Freelance from 15/2/26</t>
        </r>
      </text>
    </comment>
  </commentList>
</comments>
</file>

<file path=xl/sharedStrings.xml><?xml version="1.0" encoding="utf-8"?>
<sst xmlns="http://schemas.openxmlformats.org/spreadsheetml/2006/main" count="592" uniqueCount="83">
  <si>
    <t>Actuals</t>
  </si>
  <si>
    <t>Forecast</t>
  </si>
  <si>
    <t>FY26</t>
  </si>
  <si>
    <t>CoS</t>
  </si>
  <si>
    <t>GP</t>
  </si>
  <si>
    <t>GP%</t>
  </si>
  <si>
    <t>Total</t>
  </si>
  <si>
    <t>Accountancy</t>
  </si>
  <si>
    <t>BN - P&amp;L</t>
  </si>
  <si>
    <t>App</t>
  </si>
  <si>
    <t>Turnover</t>
  </si>
  <si>
    <t>Facebook</t>
  </si>
  <si>
    <t>Magazine</t>
  </si>
  <si>
    <t>Website</t>
  </si>
  <si>
    <t>Youtube</t>
  </si>
  <si>
    <t>Employee Name</t>
  </si>
  <si>
    <t>Ryan Elliot</t>
  </si>
  <si>
    <t>Instagram</t>
  </si>
  <si>
    <t>TikTok</t>
  </si>
  <si>
    <t>X</t>
  </si>
  <si>
    <t>Allocation</t>
  </si>
  <si>
    <t>Gross Salary</t>
  </si>
  <si>
    <t>NI + Pension</t>
  </si>
  <si>
    <t>Current</t>
  </si>
  <si>
    <t>B2B</t>
  </si>
  <si>
    <t>Danny Gilfilen</t>
  </si>
  <si>
    <t xml:space="preserve">Proposed </t>
  </si>
  <si>
    <t>Bonus</t>
  </si>
  <si>
    <t>Daniel Greg</t>
  </si>
  <si>
    <t>PSM Recharge</t>
  </si>
  <si>
    <t>Nick Bond</t>
  </si>
  <si>
    <t>Harry Payne</t>
  </si>
  <si>
    <t>Redundancy</t>
  </si>
  <si>
    <t>Exceptionals</t>
  </si>
  <si>
    <t>Shaun Brown</t>
  </si>
  <si>
    <t>14th Feb</t>
  </si>
  <si>
    <t>Oscar Pick</t>
  </si>
  <si>
    <t>Recharge</t>
  </si>
  <si>
    <t xml:space="preserve">FY </t>
  </si>
  <si>
    <t>Assumes leave in Mar 26</t>
  </si>
  <si>
    <t>Assumes leaves Mid-Mar 26</t>
  </si>
  <si>
    <t>FY</t>
  </si>
  <si>
    <t>Subscripitons - Getty</t>
  </si>
  <si>
    <t>Subscripitons - Other</t>
  </si>
  <si>
    <t>Slack ? WeTFR?</t>
  </si>
  <si>
    <t>Travel + Subsistence</t>
  </si>
  <si>
    <t>Reduction in Adobe licenses</t>
  </si>
  <si>
    <t>Backcharge to PSM - Artlist 50%</t>
  </si>
  <si>
    <t>PR</t>
  </si>
  <si>
    <t>Assumes £50k split across Facebook and Instagram</t>
  </si>
  <si>
    <t>In line with current performance</t>
  </si>
  <si>
    <t>Strong Nov/Dec performance</t>
  </si>
  <si>
    <t>£80k</t>
  </si>
  <si>
    <t>CoS - Staff costs</t>
  </si>
  <si>
    <t>Other Op costs</t>
  </si>
  <si>
    <t>Contribution</t>
  </si>
  <si>
    <t>CoS - Freelancers</t>
  </si>
  <si>
    <t xml:space="preserve">FY26 </t>
  </si>
  <si>
    <t>Subsribers</t>
  </si>
  <si>
    <t>In shop purchases</t>
  </si>
  <si>
    <t>Subscription price</t>
  </si>
  <si>
    <t>In shop price</t>
  </si>
  <si>
    <t>Subscription</t>
  </si>
  <si>
    <t>In Shop</t>
  </si>
  <si>
    <t xml:space="preserve">Commission </t>
  </si>
  <si>
    <t>Other Income</t>
  </si>
  <si>
    <t>Sponsorship</t>
  </si>
  <si>
    <t>Apple</t>
  </si>
  <si>
    <t>Jellfish</t>
  </si>
  <si>
    <t>Isubscribe / Bolin</t>
  </si>
  <si>
    <t>Costs</t>
  </si>
  <si>
    <t>Oliver Fennell</t>
  </si>
  <si>
    <t>Make sure to track this carefully each month</t>
  </si>
  <si>
    <t xml:space="preserve">Freelancers - other </t>
  </si>
  <si>
    <t>Freelancers - per staff cost schedule</t>
  </si>
  <si>
    <t>Total Revenue</t>
  </si>
  <si>
    <t>Monthly Print Costs</t>
  </si>
  <si>
    <t>Monthly Mailing Fee</t>
  </si>
  <si>
    <t>Warehouse</t>
  </si>
  <si>
    <t>Staff costs</t>
  </si>
  <si>
    <t>Sub's management</t>
  </si>
  <si>
    <t>Jellyfish</t>
  </si>
  <si>
    <t>Other Operating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</si>
</sst>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;[Red]\-&quot;£&quot;#,##0"/>
    <numFmt numFmtId="8" formatCode="&quot;£&quot;#,##0.00;[Red]\-&quot;£&quot;#,##0.00"/>
    <numFmt numFmtId="164" formatCode="0.0%"/>
    <numFmt numFmtId="165" formatCode="&quot;£&quot;#,##0.00"/>
    <numFmt numFmtId="166" formatCode="&quot;£&quot;#,##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"/>
      <name val="Arial"/>
      <family val="2"/>
    </font>
    <font>
      <sz val="11"/>
      <color rgb="FFFF0000"/>
      <name val="Aptos Narrow"/>
      <family val="2"/>
      <scheme val="minor"/>
    </font>
    <font>
      <b/>
      <u/>
      <sz val="10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0" fillId="4" borderId="0" xfId="0" applyFill="1" applyAlignment="1">
      <alignment horizontal="center"/>
    </xf>
    <xf numFmtId="0" fontId="0" fillId="4" borderId="0" xfId="0" applyFill="1"/>
    <xf numFmtId="0" fontId="5" fillId="4" borderId="0" xfId="0" applyFont="1" applyFill="1" applyAlignment="1">
      <alignment horizontal="center"/>
    </xf>
    <xf numFmtId="0" fontId="4" fillId="4" borderId="0" xfId="0" applyFont="1" applyFill="1"/>
    <xf numFmtId="8" fontId="0" fillId="0" borderId="0" xfId="0" applyNumberFormat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0" fillId="0" borderId="3" xfId="0" applyBorder="1"/>
    <xf numFmtId="0" fontId="7" fillId="4" borderId="0" xfId="0" applyFont="1" applyFill="1" applyAlignment="1">
      <alignment horizontal="left" vertical="center"/>
    </xf>
    <xf numFmtId="0" fontId="8" fillId="0" borderId="0" xfId="0" applyFont="1"/>
    <xf numFmtId="10" fontId="3" fillId="2" borderId="0" xfId="0" applyNumberFormat="1" applyFont="1" applyFill="1" applyAlignment="1">
      <alignment horizontal="center"/>
    </xf>
    <xf numFmtId="10" fontId="0" fillId="0" borderId="0" xfId="0" applyNumberFormat="1"/>
    <xf numFmtId="6" fontId="0" fillId="0" borderId="0" xfId="0" applyNumberFormat="1"/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6" fontId="8" fillId="0" borderId="0" xfId="0" applyNumberFormat="1" applyFont="1" applyAlignment="1">
      <alignment horizontal="center"/>
    </xf>
    <xf numFmtId="9" fontId="8" fillId="0" borderId="0" xfId="1" applyFont="1" applyAlignment="1">
      <alignment horizontal="center"/>
    </xf>
    <xf numFmtId="0" fontId="8" fillId="0" borderId="2" xfId="0" applyFont="1" applyBorder="1"/>
    <xf numFmtId="6" fontId="8" fillId="0" borderId="2" xfId="0" applyNumberFormat="1" applyFont="1" applyBorder="1"/>
    <xf numFmtId="6" fontId="8" fillId="5" borderId="2" xfId="0" applyNumberFormat="1" applyFont="1" applyFill="1" applyBorder="1"/>
    <xf numFmtId="0" fontId="0" fillId="0" borderId="2" xfId="0" applyBorder="1"/>
    <xf numFmtId="0" fontId="9" fillId="0" borderId="3" xfId="0" applyFont="1" applyBorder="1" applyAlignment="1">
      <alignment horizontal="center"/>
    </xf>
    <xf numFmtId="9" fontId="9" fillId="0" borderId="3" xfId="1" applyFont="1" applyBorder="1" applyAlignment="1">
      <alignment horizontal="center"/>
    </xf>
    <xf numFmtId="8" fontId="9" fillId="0" borderId="3" xfId="0" applyNumberFormat="1" applyFont="1" applyBorder="1" applyAlignment="1">
      <alignment horizontal="center"/>
    </xf>
    <xf numFmtId="8" fontId="9" fillId="0" borderId="4" xfId="0" applyNumberFormat="1" applyFont="1" applyBorder="1" applyAlignment="1">
      <alignment horizontal="center"/>
    </xf>
    <xf numFmtId="0" fontId="9" fillId="0" borderId="3" xfId="0" applyFont="1" applyBorder="1"/>
    <xf numFmtId="164" fontId="8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0" fontId="8" fillId="6" borderId="0" xfId="0" applyFont="1" applyFill="1" applyAlignment="1">
      <alignment horizontal="center"/>
    </xf>
    <xf numFmtId="9" fontId="8" fillId="6" borderId="0" xfId="1" applyFont="1" applyFill="1" applyAlignment="1">
      <alignment horizontal="center"/>
    </xf>
    <xf numFmtId="6" fontId="8" fillId="6" borderId="0" xfId="0" applyNumberFormat="1" applyFont="1" applyFill="1" applyAlignment="1">
      <alignment horizontal="center"/>
    </xf>
    <xf numFmtId="6" fontId="8" fillId="6" borderId="2" xfId="0" applyNumberFormat="1" applyFont="1" applyFill="1" applyBorder="1"/>
    <xf numFmtId="0" fontId="8" fillId="6" borderId="0" xfId="0" applyFont="1" applyFill="1"/>
    <xf numFmtId="0" fontId="0" fillId="5" borderId="2" xfId="0" applyFill="1" applyBorder="1"/>
    <xf numFmtId="9" fontId="8" fillId="0" borderId="0" xfId="1" applyFont="1" applyFill="1" applyAlignment="1">
      <alignment horizontal="center"/>
    </xf>
    <xf numFmtId="8" fontId="0" fillId="0" borderId="0" xfId="0" applyNumberFormat="1"/>
    <xf numFmtId="0" fontId="2" fillId="0" borderId="0" xfId="0" applyFont="1" applyAlignment="1">
      <alignment horizontal="center"/>
    </xf>
    <xf numFmtId="17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6" fontId="8" fillId="3" borderId="0" xfId="0" applyNumberFormat="1" applyFont="1" applyFill="1" applyAlignment="1">
      <alignment horizontal="center"/>
    </xf>
    <xf numFmtId="6" fontId="9" fillId="0" borderId="3" xfId="0" applyNumberFormat="1" applyFont="1" applyBorder="1" applyAlignment="1">
      <alignment horizontal="center"/>
    </xf>
    <xf numFmtId="6" fontId="9" fillId="0" borderId="7" xfId="0" applyNumberFormat="1" applyFont="1" applyBorder="1" applyAlignment="1">
      <alignment horizontal="center"/>
    </xf>
    <xf numFmtId="6" fontId="8" fillId="0" borderId="0" xfId="1" applyNumberFormat="1" applyFont="1" applyAlignment="1">
      <alignment horizontal="center"/>
    </xf>
    <xf numFmtId="0" fontId="2" fillId="0" borderId="3" xfId="0" applyFont="1" applyBorder="1"/>
    <xf numFmtId="10" fontId="2" fillId="0" borderId="3" xfId="0" applyNumberFormat="1" applyFont="1" applyBorder="1"/>
    <xf numFmtId="6" fontId="2" fillId="0" borderId="3" xfId="0" applyNumberFormat="1" applyFont="1" applyBorder="1" applyAlignment="1">
      <alignment horizontal="center"/>
    </xf>
    <xf numFmtId="6" fontId="2" fillId="0" borderId="4" xfId="0" applyNumberFormat="1" applyFont="1" applyBorder="1" applyAlignment="1">
      <alignment horizontal="center"/>
    </xf>
    <xf numFmtId="6" fontId="9" fillId="6" borderId="0" xfId="0" applyNumberFormat="1" applyFont="1" applyFill="1" applyAlignment="1">
      <alignment horizontal="center"/>
    </xf>
    <xf numFmtId="9" fontId="8" fillId="7" borderId="0" xfId="1" applyFont="1" applyFill="1" applyAlignment="1">
      <alignment horizontal="center"/>
    </xf>
    <xf numFmtId="6" fontId="9" fillId="3" borderId="0" xfId="0" applyNumberFormat="1" applyFont="1" applyFill="1" applyAlignment="1">
      <alignment horizontal="center"/>
    </xf>
    <xf numFmtId="0" fontId="14" fillId="0" borderId="0" xfId="0" applyFont="1"/>
    <xf numFmtId="164" fontId="8" fillId="0" borderId="0" xfId="1" applyNumberFormat="1" applyFont="1" applyFill="1" applyAlignment="1">
      <alignment horizontal="center"/>
    </xf>
    <xf numFmtId="165" fontId="0" fillId="0" borderId="0" xfId="0" applyNumberFormat="1"/>
    <xf numFmtId="0" fontId="0" fillId="7" borderId="0" xfId="0" applyFill="1"/>
    <xf numFmtId="166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4" borderId="0" xfId="0" applyNumberFormat="1" applyFill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165" fontId="5" fillId="4" borderId="0" xfId="0" applyNumberFormat="1" applyFont="1" applyFill="1" applyAlignment="1">
      <alignment horizontal="center"/>
    </xf>
    <xf numFmtId="165" fontId="5" fillId="4" borderId="2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165" fontId="2" fillId="4" borderId="0" xfId="0" applyNumberFormat="1" applyFont="1" applyFill="1" applyAlignment="1">
      <alignment horizontal="center"/>
    </xf>
    <xf numFmtId="0" fontId="16" fillId="4" borderId="0" xfId="0" applyFont="1" applyFill="1"/>
    <xf numFmtId="165" fontId="15" fillId="0" borderId="0" xfId="0" applyNumberFormat="1" applyFont="1" applyAlignment="1">
      <alignment horizontal="center"/>
    </xf>
    <xf numFmtId="165" fontId="0" fillId="7" borderId="0" xfId="0" applyNumberFormat="1" applyFill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165" fontId="5" fillId="7" borderId="0" xfId="0" applyNumberFormat="1" applyFont="1" applyFill="1" applyAlignment="1">
      <alignment horizontal="center"/>
    </xf>
    <xf numFmtId="165" fontId="0" fillId="7" borderId="3" xfId="0" applyNumberFormat="1" applyFill="1" applyBorder="1" applyAlignment="1">
      <alignment horizontal="center"/>
    </xf>
    <xf numFmtId="165" fontId="0" fillId="7" borderId="4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165" fontId="15" fillId="7" borderId="0" xfId="0" applyNumberFormat="1" applyFont="1" applyFill="1" applyAlignment="1">
      <alignment horizontal="center"/>
    </xf>
    <xf numFmtId="165" fontId="17" fillId="0" borderId="3" xfId="0" applyNumberFormat="1" applyFont="1" applyBorder="1" applyAlignment="1">
      <alignment horizontal="center"/>
    </xf>
    <xf numFmtId="165" fontId="15" fillId="0" borderId="3" xfId="0" applyNumberFormat="1" applyFont="1" applyBorder="1" applyAlignment="1">
      <alignment horizontal="center"/>
    </xf>
    <xf numFmtId="0" fontId="6" fillId="8" borderId="0" xfId="0" applyFont="1" applyFill="1" applyAlignment="1">
      <alignment horizontal="left"/>
    </xf>
    <xf numFmtId="0" fontId="16" fillId="0" borderId="0" xfId="0" applyFont="1"/>
    <xf numFmtId="17" fontId="0" fillId="4" borderId="0" xfId="0" applyNumberFormat="1" applyFill="1"/>
    <xf numFmtId="0" fontId="17" fillId="0" borderId="3" xfId="0" applyFont="1" applyBorder="1" applyAlignment="1">
      <alignment horizontal="center"/>
    </xf>
    <xf numFmtId="0" fontId="18" fillId="2" borderId="0" xfId="0" applyFont="1" applyFill="1"/>
    <xf numFmtId="0" fontId="18" fillId="2" borderId="0" xfId="0" applyFont="1" applyFill="1" applyAlignment="1">
      <alignment horizontal="center"/>
    </xf>
    <xf numFmtId="0" fontId="18" fillId="2" borderId="1" xfId="0" applyFont="1" applyFill="1" applyBorder="1" applyAlignment="1">
      <alignment horizontal="center"/>
    </xf>
    <xf numFmtId="14" fontId="18" fillId="2" borderId="0" xfId="0" applyNumberFormat="1" applyFont="1" applyFill="1" applyAlignment="1">
      <alignment horizontal="center"/>
    </xf>
    <xf numFmtId="14" fontId="18" fillId="2" borderId="2" xfId="0" applyNumberFormat="1" applyFont="1" applyFill="1" applyBorder="1" applyAlignment="1">
      <alignment horizontal="center"/>
    </xf>
    <xf numFmtId="0" fontId="7" fillId="4" borderId="0" xfId="0" applyFont="1" applyFill="1"/>
    <xf numFmtId="14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4" fontId="18" fillId="4" borderId="2" xfId="0" applyNumberFormat="1" applyFont="1" applyFill="1" applyBorder="1" applyAlignment="1">
      <alignment horizontal="center"/>
    </xf>
    <xf numFmtId="0" fontId="8" fillId="4" borderId="0" xfId="0" applyFont="1" applyFill="1"/>
    <xf numFmtId="14" fontId="18" fillId="4" borderId="0" xfId="0" applyNumberFormat="1" applyFont="1" applyFill="1" applyAlignment="1">
      <alignment horizontal="center"/>
    </xf>
    <xf numFmtId="8" fontId="7" fillId="4" borderId="0" xfId="0" applyNumberFormat="1" applyFont="1" applyFill="1" applyAlignment="1">
      <alignment horizontal="center"/>
    </xf>
    <xf numFmtId="9" fontId="7" fillId="4" borderId="0" xfId="0" applyNumberFormat="1" applyFont="1" applyFill="1" applyAlignment="1">
      <alignment horizontal="center"/>
    </xf>
    <xf numFmtId="14" fontId="7" fillId="4" borderId="2" xfId="0" applyNumberFormat="1" applyFont="1" applyFill="1" applyBorder="1" applyAlignment="1">
      <alignment horizontal="center"/>
    </xf>
    <xf numFmtId="0" fontId="18" fillId="0" borderId="0" xfId="0" applyFont="1"/>
    <xf numFmtId="14" fontId="18" fillId="0" borderId="0" xfId="0" applyNumberFormat="1" applyFont="1" applyAlignment="1">
      <alignment horizontal="center"/>
    </xf>
    <xf numFmtId="14" fontId="18" fillId="0" borderId="2" xfId="0" applyNumberFormat="1" applyFont="1" applyBorder="1" applyAlignment="1">
      <alignment horizontal="center"/>
    </xf>
    <xf numFmtId="0" fontId="7" fillId="0" borderId="0" xfId="0" applyFont="1"/>
    <xf numFmtId="16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5" fontId="8" fillId="0" borderId="0" xfId="0" applyNumberFormat="1" applyFont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7" fillId="0" borderId="3" xfId="0" applyFont="1" applyBorder="1" applyAlignment="1">
      <alignment horizontal="left"/>
    </xf>
    <xf numFmtId="165" fontId="9" fillId="0" borderId="3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0" fontId="19" fillId="0" borderId="0" xfId="0" applyFont="1"/>
    <xf numFmtId="165" fontId="19" fillId="0" borderId="0" xfId="0" applyNumberFormat="1" applyFont="1" applyAlignment="1">
      <alignment horizontal="center"/>
    </xf>
    <xf numFmtId="165" fontId="19" fillId="0" borderId="2" xfId="0" applyNumberFormat="1" applyFont="1" applyBorder="1" applyAlignment="1">
      <alignment horizontal="center"/>
    </xf>
    <xf numFmtId="165" fontId="8" fillId="4" borderId="0" xfId="0" applyNumberFormat="1" applyFont="1" applyFill="1" applyAlignment="1">
      <alignment horizontal="center"/>
    </xf>
    <xf numFmtId="165" fontId="9" fillId="4" borderId="0" xfId="0" applyNumberFormat="1" applyFont="1" applyFill="1" applyAlignment="1">
      <alignment horizontal="center"/>
    </xf>
    <xf numFmtId="165" fontId="8" fillId="4" borderId="2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0" xfId="0" applyFont="1"/>
    <xf numFmtId="0" fontId="9" fillId="0" borderId="4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6" fontId="20" fillId="0" borderId="3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16AD-9CC3-484D-9D4E-AD2D4D7AA58B}">
  <sheetPr>
    <tabColor rgb="FF92D050"/>
  </sheetPr>
  <dimension ref="A1:L99"/>
  <sheetViews>
    <sheetView topLeftCell="A28" workbookViewId="0">
      <selection activeCell="C45" sqref="C45"/>
    </sheetView>
  </sheetViews>
  <sheetFormatPr defaultRowHeight="14.5" x14ac:dyDescent="0.35"/>
  <cols>
    <col min="1" max="1" width="25.36328125" customWidth="1"/>
    <col min="2" max="11" width="10.54296875" style="9" bestFit="1" customWidth="1"/>
    <col min="12" max="12" width="4.81640625" style="6" bestFit="1" customWidth="1"/>
  </cols>
  <sheetData>
    <row r="1" spans="1:12" x14ac:dyDescent="0.35">
      <c r="A1" s="1" t="s">
        <v>8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3"/>
    </row>
    <row r="2" spans="1:12" x14ac:dyDescent="0.35">
      <c r="A2" s="1"/>
      <c r="B2" s="4">
        <v>45992</v>
      </c>
      <c r="C2" s="4">
        <v>46023</v>
      </c>
      <c r="D2" s="4">
        <v>46054</v>
      </c>
      <c r="E2" s="4">
        <v>46082</v>
      </c>
      <c r="F2" s="4">
        <v>46113</v>
      </c>
      <c r="G2" s="4">
        <v>46143</v>
      </c>
      <c r="H2" s="4">
        <v>46174</v>
      </c>
      <c r="I2" s="4">
        <v>46204</v>
      </c>
      <c r="J2" s="4">
        <v>46235</v>
      </c>
      <c r="K2" s="4">
        <v>46266</v>
      </c>
      <c r="L2" s="5" t="s">
        <v>2</v>
      </c>
    </row>
    <row r="3" spans="1:12" s="15" customFormat="1" hidden="1" x14ac:dyDescent="0.35">
      <c r="A3" s="22" t="s">
        <v>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8"/>
    </row>
    <row r="4" spans="1:12" hidden="1" x14ac:dyDescent="0.35">
      <c r="A4" s="11" t="s">
        <v>10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7"/>
    </row>
    <row r="5" spans="1:12" hidden="1" x14ac:dyDescent="0.35">
      <c r="A5" s="11" t="s">
        <v>3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7"/>
    </row>
    <row r="6" spans="1:12" s="21" customFormat="1" ht="15" hidden="1" thickBot="1" x14ac:dyDescent="0.4">
      <c r="A6" s="20" t="s">
        <v>4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90"/>
    </row>
    <row r="7" spans="1:12" ht="15" hidden="1" thickTop="1" x14ac:dyDescent="0.35">
      <c r="A7" s="11" t="s">
        <v>5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2"/>
    </row>
    <row r="8" spans="1:12" hidden="1" x14ac:dyDescent="0.35">
      <c r="A8" s="11"/>
    </row>
    <row r="9" spans="1:12" s="15" customFormat="1" x14ac:dyDescent="0.35">
      <c r="A9" s="22" t="s">
        <v>11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9"/>
    </row>
    <row r="10" spans="1:12" x14ac:dyDescent="0.35">
      <c r="A10" s="11" t="s">
        <v>10</v>
      </c>
      <c r="B10" s="70">
        <f>'Revenue - Digital'!D6</f>
        <v>6666.666666666667</v>
      </c>
      <c r="C10" s="70">
        <f>'Revenue - Digital'!E6</f>
        <v>8750</v>
      </c>
      <c r="D10" s="70">
        <f>'Revenue - Digital'!F6</f>
        <v>8750</v>
      </c>
      <c r="E10" s="70">
        <f>'Revenue - Digital'!G6</f>
        <v>8750</v>
      </c>
      <c r="F10" s="70">
        <f>'Revenue - Digital'!H6</f>
        <v>8750</v>
      </c>
      <c r="G10" s="70">
        <f>'Revenue - Digital'!I6</f>
        <v>8750</v>
      </c>
      <c r="H10" s="70">
        <f>'Revenue - Digital'!J6</f>
        <v>8750</v>
      </c>
      <c r="I10" s="70">
        <f>'Revenue - Digital'!K6</f>
        <v>8750</v>
      </c>
      <c r="J10" s="70">
        <f>'Revenue - Digital'!L6</f>
        <v>8750</v>
      </c>
      <c r="K10" s="70">
        <f>'Revenue - Digital'!M6</f>
        <v>8750</v>
      </c>
      <c r="L10" s="71"/>
    </row>
    <row r="11" spans="1:12" x14ac:dyDescent="0.35">
      <c r="A11" s="11" t="s">
        <v>53</v>
      </c>
      <c r="B11" s="85">
        <f>-SUMIF('M1 Staff costs'!$A:$A,'Summary M1 Digital'!$A$9,'M1 Staff costs'!I:I)</f>
        <v>-2831.4</v>
      </c>
      <c r="C11" s="85">
        <f>-SUMIF('M1 Staff costs'!$A:$A,'Summary M1 Digital'!$A$9,'M1 Staff costs'!J:J)</f>
        <v>-3425.4</v>
      </c>
      <c r="D11" s="85">
        <f>-SUMIF('M1 Staff costs'!$A:$A,'Summary M1 Digital'!$A$9,'M1 Staff costs'!K:K)</f>
        <v>-2831.4</v>
      </c>
      <c r="E11" s="85">
        <f>-SUMIF('M1 Staff costs'!$A:$A,'Summary M1 Digital'!$A$9,'M1 Staff costs'!L:L)</f>
        <v>-2587.9</v>
      </c>
      <c r="F11" s="85">
        <f>-SUMIF('M1 Staff costs'!$A:$A,'Summary M1 Digital'!$A$9,'M1 Staff costs'!M:M)</f>
        <v>-2439.4</v>
      </c>
      <c r="G11" s="85">
        <f>-SUMIF('M1 Staff costs'!$A:$A,'Summary M1 Digital'!$A$9,'M1 Staff costs'!N:N)</f>
        <v>-2439.4</v>
      </c>
      <c r="H11" s="85">
        <f>-SUMIF('M1 Staff costs'!$A:$A,'Summary M1 Digital'!$A$9,'M1 Staff costs'!O:O)</f>
        <v>-2439.4</v>
      </c>
      <c r="I11" s="85">
        <f>-SUMIF('M1 Staff costs'!$A:$A,'Summary M1 Digital'!$A$9,'M1 Staff costs'!P:P)</f>
        <v>-2439.4</v>
      </c>
      <c r="J11" s="85">
        <f>-SUMIF('M1 Staff costs'!$A:$A,'Summary M1 Digital'!$A$9,'M1 Staff costs'!Q:Q)</f>
        <v>-2439.4</v>
      </c>
      <c r="K11" s="85">
        <f>-SUMIF('M1 Staff costs'!$A:$A,'Summary M1 Digital'!$A$9,'M1 Staff costs'!R:R)</f>
        <v>-2439.4</v>
      </c>
      <c r="L11" s="71"/>
    </row>
    <row r="12" spans="1:12" x14ac:dyDescent="0.35">
      <c r="A12" s="11" t="s">
        <v>56</v>
      </c>
      <c r="B12" s="85">
        <f>-SUMIF('M1 Freelancers'!$A:$A,'M1 Freelancers'!$A$5,'M1 Freelancers'!E:E)</f>
        <v>-300</v>
      </c>
      <c r="C12" s="85">
        <f>-SUMIF('M1 Freelancers'!$A:$A,'M1 Freelancers'!$A$5,'M1 Freelancers'!F:F)</f>
        <v>-300</v>
      </c>
      <c r="D12" s="85">
        <f>-SUMIF('M1 Freelancers'!$A:$A,'M1 Freelancers'!$A$5,'M1 Freelancers'!G:G)</f>
        <v>-300</v>
      </c>
      <c r="E12" s="85">
        <f>-SUMIF('M1 Freelancers'!$A:$A,'M1 Freelancers'!$A$5,'M1 Freelancers'!H:H)</f>
        <v>-300</v>
      </c>
      <c r="F12" s="85">
        <f>-SUMIF('M1 Freelancers'!$A:$A,'M1 Freelancers'!$A$5,'M1 Freelancers'!I:I)</f>
        <v>-300</v>
      </c>
      <c r="G12" s="85">
        <f>-SUMIF('M1 Freelancers'!$A:$A,'M1 Freelancers'!$A$5,'M1 Freelancers'!J:J)</f>
        <v>-300</v>
      </c>
      <c r="H12" s="85">
        <f>-SUMIF('M1 Freelancers'!$A:$A,'M1 Freelancers'!$A$5,'M1 Freelancers'!K:K)</f>
        <v>-300</v>
      </c>
      <c r="I12" s="85">
        <f>-SUMIF('M1 Freelancers'!$A:$A,'M1 Freelancers'!$A$5,'M1 Freelancers'!L:L)</f>
        <v>-300</v>
      </c>
      <c r="J12" s="85">
        <f>-SUMIF('M1 Freelancers'!$A:$A,'M1 Freelancers'!$A$5,'M1 Freelancers'!M:M)</f>
        <v>-300</v>
      </c>
      <c r="K12" s="85">
        <f>-SUMIF('M1 Freelancers'!$A:$A,'M1 Freelancers'!$A$5,'M1 Freelancers'!N:N)</f>
        <v>-300</v>
      </c>
      <c r="L12" s="71"/>
    </row>
    <row r="13" spans="1:12" s="21" customFormat="1" ht="15" thickBot="1" x14ac:dyDescent="0.4">
      <c r="A13" s="20" t="s">
        <v>4</v>
      </c>
      <c r="B13" s="72">
        <f>SUM(B10:B12)</f>
        <v>3535.2666666666669</v>
      </c>
      <c r="C13" s="72">
        <f t="shared" ref="C13:K13" si="0">SUM(C10:C12)</f>
        <v>5024.6000000000004</v>
      </c>
      <c r="D13" s="72">
        <f t="shared" si="0"/>
        <v>5618.6</v>
      </c>
      <c r="E13" s="72">
        <f t="shared" si="0"/>
        <v>5862.1</v>
      </c>
      <c r="F13" s="72">
        <f t="shared" si="0"/>
        <v>6010.6</v>
      </c>
      <c r="G13" s="72">
        <f t="shared" si="0"/>
        <v>6010.6</v>
      </c>
      <c r="H13" s="72">
        <f t="shared" si="0"/>
        <v>6010.6</v>
      </c>
      <c r="I13" s="72">
        <f t="shared" si="0"/>
        <v>6010.6</v>
      </c>
      <c r="J13" s="72">
        <f t="shared" si="0"/>
        <v>6010.6</v>
      </c>
      <c r="K13" s="72">
        <f t="shared" si="0"/>
        <v>6010.6</v>
      </c>
      <c r="L13" s="73"/>
    </row>
    <row r="14" spans="1:12" ht="15" thickTop="1" x14ac:dyDescent="0.35">
      <c r="A14" s="11" t="s">
        <v>54</v>
      </c>
      <c r="B14" s="85">
        <f>-SUMIF(OH!$A:$A,'Summary M1 Digital'!$A$9,OH!E:E)</f>
        <v>-1029.2</v>
      </c>
      <c r="C14" s="85">
        <f>-SUMIF(OH!$A:$A,'Summary M1 Digital'!$A$9,OH!F:F)</f>
        <v>-1029.2</v>
      </c>
      <c r="D14" s="85">
        <f>-SUMIF(OH!$A:$A,'Summary M1 Digital'!$A$9,OH!G:G)</f>
        <v>-862.53333333333342</v>
      </c>
      <c r="E14" s="85">
        <f>-SUMIF(OH!$A:$A,'Summary M1 Digital'!$A$9,OH!H:H)</f>
        <v>-862.53333333333342</v>
      </c>
      <c r="F14" s="85">
        <f>-SUMIF(OH!$A:$A,'Summary M1 Digital'!$A$9,OH!I:I)</f>
        <v>-862.53333333333342</v>
      </c>
      <c r="G14" s="85">
        <f>-SUMIF(OH!$A:$A,'Summary M1 Digital'!$A$9,OH!J:J)</f>
        <v>-862.53333333333342</v>
      </c>
      <c r="H14" s="85">
        <f>-SUMIF(OH!$A:$A,'Summary M1 Digital'!$A$9,OH!K:K)</f>
        <v>-862.53333333333342</v>
      </c>
      <c r="I14" s="85">
        <f>-SUMIF(OH!$A:$A,'Summary M1 Digital'!$A$9,OH!L:L)</f>
        <v>-862.53333333333342</v>
      </c>
      <c r="J14" s="85">
        <f>-SUMIF(OH!$A:$A,'Summary M1 Digital'!$A$9,OH!M:M)</f>
        <v>-862.53333333333342</v>
      </c>
      <c r="K14" s="85">
        <f>-SUMIF(OH!$A:$A,'Summary M1 Digital'!$A$9,OH!N:N)</f>
        <v>-862.53333333333342</v>
      </c>
      <c r="L14" s="71"/>
    </row>
    <row r="15" spans="1:12" s="21" customFormat="1" ht="15" thickBot="1" x14ac:dyDescent="0.4">
      <c r="A15" s="20" t="s">
        <v>55</v>
      </c>
      <c r="B15" s="80">
        <f>SUM(B13:B14)</f>
        <v>2506.0666666666666</v>
      </c>
      <c r="C15" s="80">
        <f t="shared" ref="C15:K15" si="1">SUM(C13:C14)</f>
        <v>3995.4000000000005</v>
      </c>
      <c r="D15" s="80">
        <f t="shared" si="1"/>
        <v>4756.0666666666666</v>
      </c>
      <c r="E15" s="80">
        <f t="shared" si="1"/>
        <v>4999.5666666666666</v>
      </c>
      <c r="F15" s="80">
        <f t="shared" si="1"/>
        <v>5148.0666666666666</v>
      </c>
      <c r="G15" s="80">
        <f t="shared" si="1"/>
        <v>5148.0666666666666</v>
      </c>
      <c r="H15" s="80">
        <f t="shared" si="1"/>
        <v>5148.0666666666666</v>
      </c>
      <c r="I15" s="80">
        <f t="shared" si="1"/>
        <v>5148.0666666666666</v>
      </c>
      <c r="J15" s="80">
        <f t="shared" si="1"/>
        <v>5148.0666666666666</v>
      </c>
      <c r="K15" s="80">
        <f t="shared" si="1"/>
        <v>5148.0666666666666</v>
      </c>
      <c r="L15" s="73"/>
    </row>
    <row r="16" spans="1:12" ht="15" thickTop="1" x14ac:dyDescent="0.35">
      <c r="A16" s="11"/>
    </row>
    <row r="17" spans="1:12" hidden="1" x14ac:dyDescent="0.35">
      <c r="A17" s="13"/>
    </row>
    <row r="18" spans="1:12" s="15" customFormat="1" hidden="1" x14ac:dyDescent="0.35">
      <c r="A18" s="22" t="s">
        <v>12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8"/>
    </row>
    <row r="19" spans="1:12" hidden="1" x14ac:dyDescent="0.35">
      <c r="A19" s="11" t="s">
        <v>10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1"/>
    </row>
    <row r="20" spans="1:12" hidden="1" x14ac:dyDescent="0.35">
      <c r="A20" s="11" t="s">
        <v>53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71"/>
    </row>
    <row r="21" spans="1:12" hidden="1" x14ac:dyDescent="0.35">
      <c r="A21" s="11" t="s">
        <v>56</v>
      </c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87"/>
    </row>
    <row r="22" spans="1:12" s="21" customFormat="1" ht="15" hidden="1" thickBot="1" x14ac:dyDescent="0.4">
      <c r="A22" s="20" t="s">
        <v>4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3"/>
    </row>
    <row r="23" spans="1:12" ht="15" hidden="1" thickTop="1" x14ac:dyDescent="0.35">
      <c r="A23" s="11" t="s">
        <v>54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71"/>
    </row>
    <row r="24" spans="1:12" s="21" customFormat="1" ht="15" hidden="1" thickBot="1" x14ac:dyDescent="0.4">
      <c r="A24" s="20" t="s">
        <v>55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73"/>
    </row>
    <row r="25" spans="1:12" x14ac:dyDescent="0.35">
      <c r="A25" s="13"/>
    </row>
    <row r="26" spans="1:12" s="15" customFormat="1" x14ac:dyDescent="0.35">
      <c r="A26" s="22" t="s">
        <v>13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9"/>
    </row>
    <row r="27" spans="1:12" x14ac:dyDescent="0.35">
      <c r="A27" s="11" t="s">
        <v>10</v>
      </c>
      <c r="B27" s="70">
        <f>'Revenue - Digital'!D10</f>
        <v>18900</v>
      </c>
      <c r="C27" s="70">
        <f>'Revenue - Digital'!E10</f>
        <v>3000</v>
      </c>
      <c r="D27" s="70">
        <f>'Revenue - Digital'!F10</f>
        <v>3000</v>
      </c>
      <c r="E27" s="70">
        <f>'Revenue - Digital'!G10</f>
        <v>3000</v>
      </c>
      <c r="F27" s="70">
        <f>'Revenue - Digital'!H10</f>
        <v>3000</v>
      </c>
      <c r="G27" s="70">
        <f>'Revenue - Digital'!I10</f>
        <v>3000</v>
      </c>
      <c r="H27" s="70">
        <f>'Revenue - Digital'!J10</f>
        <v>3000</v>
      </c>
      <c r="I27" s="70">
        <f>'Revenue - Digital'!K10</f>
        <v>3000</v>
      </c>
      <c r="J27" s="70">
        <f>'Revenue - Digital'!L10</f>
        <v>3000</v>
      </c>
      <c r="K27" s="70">
        <f>'Revenue - Digital'!M10</f>
        <v>3000</v>
      </c>
      <c r="L27" s="71"/>
    </row>
    <row r="28" spans="1:12" x14ac:dyDescent="0.35">
      <c r="A28" s="11" t="s">
        <v>53</v>
      </c>
      <c r="B28" s="85">
        <f>-SUMIF('M1 Staff costs'!$A:$A,$A$26,'M1 Staff costs'!I:I)</f>
        <v>-2481.8310000000001</v>
      </c>
      <c r="C28" s="85">
        <f>-SUMIF('M1 Staff costs'!$A:$A,$A$26,'M1 Staff costs'!J:J)</f>
        <v>-2481.8310000000001</v>
      </c>
      <c r="D28" s="85">
        <f>-SUMIF('M1 Staff costs'!$A:$A,$A$26,'M1 Staff costs'!K:K)</f>
        <v>-1763.1863333333331</v>
      </c>
      <c r="E28" s="85">
        <f>-SUMIF('M1 Staff costs'!$A:$A,$A$26,'M1 Staff costs'!L:L)</f>
        <v>0</v>
      </c>
      <c r="F28" s="85">
        <f>-SUMIF('M1 Staff costs'!$A:$A,$A$26,'M1 Staff costs'!M:M)</f>
        <v>0</v>
      </c>
      <c r="G28" s="85">
        <f>-SUMIF('M1 Staff costs'!$A:$A,$A$26,'M1 Staff costs'!N:N)</f>
        <v>0</v>
      </c>
      <c r="H28" s="85">
        <f>-SUMIF('M1 Staff costs'!$A:$A,$A$26,'M1 Staff costs'!O:O)</f>
        <v>0</v>
      </c>
      <c r="I28" s="85">
        <f>-SUMIF('M1 Staff costs'!$A:$A,$A$26,'M1 Staff costs'!P:P)</f>
        <v>0</v>
      </c>
      <c r="J28" s="85">
        <f>-SUMIF('M1 Staff costs'!$A:$A,$A$26,'M1 Staff costs'!Q:Q)</f>
        <v>0</v>
      </c>
      <c r="K28" s="85">
        <f>-SUMIF('M1 Staff costs'!$A:$A,$A$26,'M1 Staff costs'!R:R)</f>
        <v>0</v>
      </c>
      <c r="L28" s="71"/>
    </row>
    <row r="29" spans="1:12" x14ac:dyDescent="0.35">
      <c r="A29" s="11" t="s">
        <v>56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71"/>
    </row>
    <row r="30" spans="1:12" s="21" customFormat="1" ht="15" thickBot="1" x14ac:dyDescent="0.4">
      <c r="A30" s="20" t="s">
        <v>4</v>
      </c>
      <c r="B30" s="72">
        <f>SUM(B27:B29)</f>
        <v>16418.169000000002</v>
      </c>
      <c r="C30" s="72">
        <f t="shared" ref="C30:K30" si="2">SUM(C27:C29)</f>
        <v>518.16899999999987</v>
      </c>
      <c r="D30" s="72">
        <f t="shared" si="2"/>
        <v>1236.8136666666669</v>
      </c>
      <c r="E30" s="72">
        <f t="shared" si="2"/>
        <v>3000</v>
      </c>
      <c r="F30" s="72">
        <f t="shared" si="2"/>
        <v>3000</v>
      </c>
      <c r="G30" s="72">
        <f t="shared" si="2"/>
        <v>3000</v>
      </c>
      <c r="H30" s="72">
        <f t="shared" si="2"/>
        <v>3000</v>
      </c>
      <c r="I30" s="72">
        <f t="shared" si="2"/>
        <v>3000</v>
      </c>
      <c r="J30" s="72">
        <f t="shared" si="2"/>
        <v>3000</v>
      </c>
      <c r="K30" s="72">
        <f t="shared" si="2"/>
        <v>3000</v>
      </c>
      <c r="L30" s="73"/>
    </row>
    <row r="31" spans="1:12" ht="15" thickTop="1" x14ac:dyDescent="0.35">
      <c r="A31" s="11" t="s">
        <v>54</v>
      </c>
      <c r="B31" s="85">
        <f>-SUMIF(OH!$A:$A,$A$26,OH!E:E)</f>
        <v>0</v>
      </c>
      <c r="C31" s="85">
        <f>-SUMIF(OH!$A:$A,$A$26,OH!F:F)</f>
        <v>0</v>
      </c>
      <c r="D31" s="85">
        <f>-SUMIF(OH!$A:$A,$A$26,OH!G:G)</f>
        <v>0</v>
      </c>
      <c r="E31" s="85">
        <f>-SUMIF(OH!$A:$A,$A$26,OH!H:H)</f>
        <v>0</v>
      </c>
      <c r="F31" s="85">
        <f>-SUMIF(OH!$A:$A,$A$26,OH!I:I)</f>
        <v>0</v>
      </c>
      <c r="G31" s="85">
        <f>-SUMIF(OH!$A:$A,$A$26,OH!J:J)</f>
        <v>0</v>
      </c>
      <c r="H31" s="85">
        <f>-SUMIF(OH!$A:$A,$A$26,OH!K:K)</f>
        <v>0</v>
      </c>
      <c r="I31" s="85">
        <f>-SUMIF(OH!$A:$A,$A$26,OH!L:L)</f>
        <v>0</v>
      </c>
      <c r="J31" s="85">
        <f>-SUMIF(OH!$A:$A,$A$26,OH!M:M)</f>
        <v>0</v>
      </c>
      <c r="K31" s="85">
        <f>-SUMIF(OH!$A:$A,$A$26,OH!N:N)</f>
        <v>0</v>
      </c>
      <c r="L31" s="71"/>
    </row>
    <row r="32" spans="1:12" s="21" customFormat="1" ht="15" thickBot="1" x14ac:dyDescent="0.4">
      <c r="A32" s="20" t="s">
        <v>55</v>
      </c>
      <c r="B32" s="80">
        <f>SUM(B30:B31)</f>
        <v>16418.169000000002</v>
      </c>
      <c r="C32" s="80">
        <f t="shared" ref="C32:K32" si="3">SUM(C30:C31)</f>
        <v>518.16899999999987</v>
      </c>
      <c r="D32" s="80">
        <f t="shared" si="3"/>
        <v>1236.8136666666669</v>
      </c>
      <c r="E32" s="80">
        <f t="shared" si="3"/>
        <v>3000</v>
      </c>
      <c r="F32" s="80">
        <f t="shared" si="3"/>
        <v>3000</v>
      </c>
      <c r="G32" s="80">
        <f t="shared" si="3"/>
        <v>3000</v>
      </c>
      <c r="H32" s="80">
        <f t="shared" si="3"/>
        <v>3000</v>
      </c>
      <c r="I32" s="80">
        <f t="shared" si="3"/>
        <v>3000</v>
      </c>
      <c r="J32" s="80">
        <f t="shared" si="3"/>
        <v>3000</v>
      </c>
      <c r="K32" s="80">
        <f t="shared" si="3"/>
        <v>3000</v>
      </c>
      <c r="L32" s="73"/>
    </row>
    <row r="33" spans="1:12" ht="15" thickTop="1" x14ac:dyDescent="0.35">
      <c r="A33" s="11"/>
    </row>
    <row r="34" spans="1:12" x14ac:dyDescent="0.35">
      <c r="A34" s="13"/>
    </row>
    <row r="35" spans="1:12" s="15" customFormat="1" x14ac:dyDescent="0.35">
      <c r="A35" s="22" t="s">
        <v>14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8"/>
    </row>
    <row r="36" spans="1:12" x14ac:dyDescent="0.35">
      <c r="A36" s="11" t="s">
        <v>10</v>
      </c>
      <c r="B36" s="70">
        <f>'Revenue - Digital'!D18</f>
        <v>1000</v>
      </c>
      <c r="C36" s="70">
        <f>'Revenue - Digital'!E18</f>
        <v>1000</v>
      </c>
      <c r="D36" s="70">
        <f>'Revenue - Digital'!F18</f>
        <v>1000</v>
      </c>
      <c r="E36" s="70">
        <f>'Revenue - Digital'!G18</f>
        <v>1000</v>
      </c>
      <c r="F36" s="70">
        <f>'Revenue - Digital'!H18</f>
        <v>1000</v>
      </c>
      <c r="G36" s="70">
        <f>'Revenue - Digital'!I18</f>
        <v>1000</v>
      </c>
      <c r="H36" s="70">
        <f>'Revenue - Digital'!J18</f>
        <v>1000</v>
      </c>
      <c r="I36" s="70">
        <f>'Revenue - Digital'!K18</f>
        <v>1000</v>
      </c>
      <c r="J36" s="70">
        <f>'Revenue - Digital'!L18</f>
        <v>1000</v>
      </c>
      <c r="K36" s="70">
        <f>'Revenue - Digital'!M18</f>
        <v>1000</v>
      </c>
      <c r="L36" s="71"/>
    </row>
    <row r="37" spans="1:12" x14ac:dyDescent="0.35">
      <c r="A37" s="11" t="s">
        <v>53</v>
      </c>
      <c r="B37" s="85">
        <f>-SUMIF('M1 Staff costs'!$A:$A,$A$35,'M1 Staff costs'!I:I)</f>
        <v>-4118.3999999999996</v>
      </c>
      <c r="C37" s="85">
        <f>-SUMIF('M1 Staff costs'!$A:$A,$A$35,'M1 Staff costs'!J:J)</f>
        <v>-4712.3999999999996</v>
      </c>
      <c r="D37" s="85">
        <f>-SUMIF('M1 Staff costs'!$A:$A,$A$35,'M1 Staff costs'!K:K)</f>
        <v>-4118.3999999999996</v>
      </c>
      <c r="E37" s="85">
        <f>-SUMIF('M1 Staff costs'!$A:$A,$A$35,'M1 Staff costs'!L:L)</f>
        <v>-3969.9</v>
      </c>
      <c r="F37" s="85">
        <f>-SUMIF('M1 Staff costs'!$A:$A,$A$35,'M1 Staff costs'!M:M)</f>
        <v>-3821.4</v>
      </c>
      <c r="G37" s="85">
        <f>-SUMIF('M1 Staff costs'!$A:$A,$A$35,'M1 Staff costs'!N:N)</f>
        <v>-3821.4</v>
      </c>
      <c r="H37" s="85">
        <f>-SUMIF('M1 Staff costs'!$A:$A,$A$35,'M1 Staff costs'!O:O)</f>
        <v>-3821.4</v>
      </c>
      <c r="I37" s="85">
        <f>-SUMIF('M1 Staff costs'!$A:$A,$A$35,'M1 Staff costs'!P:P)</f>
        <v>-3821.4</v>
      </c>
      <c r="J37" s="85">
        <f>-SUMIF('M1 Staff costs'!$A:$A,$A$35,'M1 Staff costs'!Q:Q)</f>
        <v>-3821.4</v>
      </c>
      <c r="K37" s="85">
        <f>-SUMIF('M1 Staff costs'!$A:$A,$A$35,'M1 Staff costs'!R:R)</f>
        <v>-3821.4</v>
      </c>
      <c r="L37" s="71"/>
    </row>
    <row r="38" spans="1:12" x14ac:dyDescent="0.35">
      <c r="A38" s="11" t="s">
        <v>56</v>
      </c>
      <c r="B38" s="85">
        <f>-SUMIF('M1 Freelancers'!$A:$A,'M1 Freelancers'!$A$8,'M1 Freelancers'!E:E)</f>
        <v>-133.33333333333334</v>
      </c>
      <c r="C38" s="85">
        <f>-SUMIF('M1 Freelancers'!$A:$A,'M1 Freelancers'!$A$8,'M1 Freelancers'!F:F)</f>
        <v>-133.33333333333334</v>
      </c>
      <c r="D38" s="85">
        <f>-SUMIF('M1 Freelancers'!$A:$A,'M1 Freelancers'!$A$8,'M1 Freelancers'!G:G)</f>
        <v>-133.33333333333334</v>
      </c>
      <c r="E38" s="85">
        <f>-SUMIF('M1 Freelancers'!$A:$A,'M1 Freelancers'!$A$8,'M1 Freelancers'!H:H)</f>
        <v>-133.33333333333334</v>
      </c>
      <c r="F38" s="85">
        <f>-SUMIF('M1 Freelancers'!$A:$A,'M1 Freelancers'!$A$8,'M1 Freelancers'!I:I)</f>
        <v>-133.33333333333334</v>
      </c>
      <c r="G38" s="85">
        <f>-SUMIF('M1 Freelancers'!$A:$A,'M1 Freelancers'!$A$8,'M1 Freelancers'!J:J)</f>
        <v>-133.33333333333334</v>
      </c>
      <c r="H38" s="85">
        <f>-SUMIF('M1 Freelancers'!$A:$A,'M1 Freelancers'!$A$8,'M1 Freelancers'!K:K)</f>
        <v>-133.33333333333334</v>
      </c>
      <c r="I38" s="85">
        <f>-SUMIF('M1 Freelancers'!$A:$A,'M1 Freelancers'!$A$8,'M1 Freelancers'!L:L)</f>
        <v>-133.33333333333334</v>
      </c>
      <c r="J38" s="85">
        <f>-SUMIF('M1 Freelancers'!$A:$A,'M1 Freelancers'!$A$8,'M1 Freelancers'!M:M)</f>
        <v>-133.33333333333334</v>
      </c>
      <c r="K38" s="85">
        <f>-SUMIF('M1 Freelancers'!$A:$A,'M1 Freelancers'!$A$8,'M1 Freelancers'!N:N)</f>
        <v>-133.33333333333334</v>
      </c>
      <c r="L38" s="71"/>
    </row>
    <row r="39" spans="1:12" s="21" customFormat="1" ht="15" thickBot="1" x14ac:dyDescent="0.4">
      <c r="A39" s="20" t="s">
        <v>4</v>
      </c>
      <c r="B39" s="95">
        <f>SUM(B36:B38)</f>
        <v>-3251.7333333333331</v>
      </c>
      <c r="C39" s="95">
        <f t="shared" ref="C39" si="4">SUM(C36:C38)</f>
        <v>-3845.7333333333331</v>
      </c>
      <c r="D39" s="95">
        <f t="shared" ref="D39" si="5">SUM(D36:D38)</f>
        <v>-3251.7333333333331</v>
      </c>
      <c r="E39" s="95">
        <f t="shared" ref="E39" si="6">SUM(E36:E38)</f>
        <v>-3103.2333333333336</v>
      </c>
      <c r="F39" s="95">
        <f t="shared" ref="F39" si="7">SUM(F36:F38)</f>
        <v>-2954.7333333333336</v>
      </c>
      <c r="G39" s="95">
        <f t="shared" ref="G39" si="8">SUM(G36:G38)</f>
        <v>-2954.7333333333336</v>
      </c>
      <c r="H39" s="95">
        <f t="shared" ref="H39" si="9">SUM(H36:H38)</f>
        <v>-2954.7333333333336</v>
      </c>
      <c r="I39" s="95">
        <f t="shared" ref="I39" si="10">SUM(I36:I38)</f>
        <v>-2954.7333333333336</v>
      </c>
      <c r="J39" s="95">
        <f t="shared" ref="J39" si="11">SUM(J36:J38)</f>
        <v>-2954.7333333333336</v>
      </c>
      <c r="K39" s="95">
        <f t="shared" ref="K39" si="12">SUM(K36:K38)</f>
        <v>-2954.7333333333336</v>
      </c>
      <c r="L39" s="73"/>
    </row>
    <row r="40" spans="1:12" ht="15" thickTop="1" x14ac:dyDescent="0.35">
      <c r="A40" s="11" t="s">
        <v>54</v>
      </c>
      <c r="B40" s="85">
        <f>-SUMIF(OH!$A:$A,$A$35,OH!E:E)</f>
        <v>-1029.2</v>
      </c>
      <c r="C40" s="85">
        <f>-SUMIF(OH!$A:$A,$A$35,OH!F:F)</f>
        <v>-1029.2</v>
      </c>
      <c r="D40" s="85">
        <f>-SUMIF(OH!$A:$A,$A$35,OH!G:G)</f>
        <v>-862.53333333333342</v>
      </c>
      <c r="E40" s="85">
        <f>-SUMIF(OH!$A:$A,$A$35,OH!H:H)</f>
        <v>-862.53333333333342</v>
      </c>
      <c r="F40" s="85">
        <f>-SUMIF(OH!$A:$A,$A$35,OH!I:I)</f>
        <v>-862.53333333333342</v>
      </c>
      <c r="G40" s="85">
        <f>-SUMIF(OH!$A:$A,$A$35,OH!J:J)</f>
        <v>-862.53333333333342</v>
      </c>
      <c r="H40" s="85">
        <f>-SUMIF(OH!$A:$A,$A$35,OH!K:K)</f>
        <v>-862.53333333333342</v>
      </c>
      <c r="I40" s="85">
        <f>-SUMIF(OH!$A:$A,$A$35,OH!L:L)</f>
        <v>-862.53333333333342</v>
      </c>
      <c r="J40" s="85">
        <f>-SUMIF(OH!$A:$A,$A$35,OH!M:M)</f>
        <v>-862.53333333333342</v>
      </c>
      <c r="K40" s="85">
        <f>-SUMIF(OH!$A:$A,$A$35,OH!N:N)</f>
        <v>-862.53333333333342</v>
      </c>
      <c r="L40" s="71"/>
    </row>
    <row r="41" spans="1:12" s="21" customFormat="1" ht="15" thickBot="1" x14ac:dyDescent="0.4">
      <c r="A41" s="20" t="s">
        <v>55</v>
      </c>
      <c r="B41" s="94">
        <f>SUM(B39:B40)</f>
        <v>-4280.9333333333334</v>
      </c>
      <c r="C41" s="94">
        <f t="shared" ref="C41" si="13">SUM(C39:C40)</f>
        <v>-4874.9333333333334</v>
      </c>
      <c r="D41" s="94">
        <f t="shared" ref="D41" si="14">SUM(D39:D40)</f>
        <v>-4114.2666666666664</v>
      </c>
      <c r="E41" s="94">
        <f t="shared" ref="E41" si="15">SUM(E39:E40)</f>
        <v>-3965.7666666666669</v>
      </c>
      <c r="F41" s="94">
        <f t="shared" ref="F41" si="16">SUM(F39:F40)</f>
        <v>-3817.2666666666669</v>
      </c>
      <c r="G41" s="94">
        <f t="shared" ref="G41" si="17">SUM(G39:G40)</f>
        <v>-3817.2666666666669</v>
      </c>
      <c r="H41" s="94">
        <f t="shared" ref="H41" si="18">SUM(H39:H40)</f>
        <v>-3817.2666666666669</v>
      </c>
      <c r="I41" s="94">
        <f t="shared" ref="I41" si="19">SUM(I39:I40)</f>
        <v>-3817.2666666666669</v>
      </c>
      <c r="J41" s="94">
        <f t="shared" ref="J41" si="20">SUM(J39:J40)</f>
        <v>-3817.2666666666669</v>
      </c>
      <c r="K41" s="94">
        <f t="shared" ref="K41" si="21">SUM(K39:K40)</f>
        <v>-3817.2666666666669</v>
      </c>
      <c r="L41" s="73"/>
    </row>
    <row r="42" spans="1:12" ht="15" thickTop="1" x14ac:dyDescent="0.35">
      <c r="A42" s="11"/>
    </row>
    <row r="43" spans="1:12" x14ac:dyDescent="0.35">
      <c r="A43" s="13"/>
    </row>
    <row r="44" spans="1:12" s="15" customFormat="1" x14ac:dyDescent="0.35">
      <c r="A44" s="22" t="s">
        <v>17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8"/>
    </row>
    <row r="45" spans="1:12" x14ac:dyDescent="0.35">
      <c r="A45" s="11" t="s">
        <v>10</v>
      </c>
      <c r="B45" s="70">
        <f>'Revenue - Digital'!D24</f>
        <v>0</v>
      </c>
      <c r="C45" s="70">
        <f>'Revenue - Digital'!E24</f>
        <v>2083.3333333333335</v>
      </c>
      <c r="D45" s="70">
        <f>'Revenue - Digital'!F24</f>
        <v>2083.3333333333335</v>
      </c>
      <c r="E45" s="70">
        <f>'Revenue - Digital'!G24</f>
        <v>2083.3333333333335</v>
      </c>
      <c r="F45" s="70">
        <f>'Revenue - Digital'!H24</f>
        <v>2083.3333333333335</v>
      </c>
      <c r="G45" s="70">
        <f>'Revenue - Digital'!I24</f>
        <v>2083.3333333333335</v>
      </c>
      <c r="H45" s="70">
        <f>'Revenue - Digital'!J24</f>
        <v>2083.3333333333335</v>
      </c>
      <c r="I45" s="70">
        <f>'Revenue - Digital'!K24</f>
        <v>2083.3333333333335</v>
      </c>
      <c r="J45" s="70">
        <f>'Revenue - Digital'!L24</f>
        <v>2083.3333333333335</v>
      </c>
      <c r="K45" s="70">
        <f>'Revenue - Digital'!M24</f>
        <v>2083.3333333333335</v>
      </c>
      <c r="L45" s="71"/>
    </row>
    <row r="46" spans="1:12" x14ac:dyDescent="0.35">
      <c r="A46" s="11" t="s">
        <v>53</v>
      </c>
      <c r="B46" s="85">
        <f>-SUMIF('M1 Staff costs'!$A:$A,$A$44,'M1 Staff costs'!I:I)</f>
        <v>-2343.8249999999998</v>
      </c>
      <c r="C46" s="85">
        <f>-SUMIF('M1 Staff costs'!$A:$A,$A$44,'M1 Staff costs'!J:J)</f>
        <v>-2937.8249999999998</v>
      </c>
      <c r="D46" s="85">
        <f>-SUMIF('M1 Staff costs'!$A:$A,$A$44,'M1 Staff costs'!K:K)</f>
        <v>-2343.8249999999998</v>
      </c>
      <c r="E46" s="85">
        <f>-SUMIF('M1 Staff costs'!$A:$A,$A$44,'M1 Staff costs'!L:L)</f>
        <v>-2100.3249999999998</v>
      </c>
      <c r="F46" s="85">
        <f>-SUMIF('M1 Staff costs'!$A:$A,$A$44,'M1 Staff costs'!M:M)</f>
        <v>-1951.825</v>
      </c>
      <c r="G46" s="85">
        <f>-SUMIF('M1 Staff costs'!$A:$A,$A$44,'M1 Staff costs'!N:N)</f>
        <v>-1951.825</v>
      </c>
      <c r="H46" s="85">
        <f>-SUMIF('M1 Staff costs'!$A:$A,$A$44,'M1 Staff costs'!O:O)</f>
        <v>-1951.825</v>
      </c>
      <c r="I46" s="85">
        <f>-SUMIF('M1 Staff costs'!$A:$A,$A$44,'M1 Staff costs'!P:P)</f>
        <v>-1951.825</v>
      </c>
      <c r="J46" s="85">
        <f>-SUMIF('M1 Staff costs'!$A:$A,$A$44,'M1 Staff costs'!Q:Q)</f>
        <v>-1951.825</v>
      </c>
      <c r="K46" s="85">
        <f>-SUMIF('M1 Staff costs'!$A:$A,$A$44,'M1 Staff costs'!R:R)</f>
        <v>-1951.825</v>
      </c>
      <c r="L46" s="71"/>
    </row>
    <row r="47" spans="1:12" x14ac:dyDescent="0.35">
      <c r="A47" s="11" t="s">
        <v>56</v>
      </c>
      <c r="B47" s="85">
        <f>-SUMIF('M1 Freelancers'!$A:$A,'M1 Freelancers'!$A$6,'M1 Freelancers'!E:E)</f>
        <v>-300</v>
      </c>
      <c r="C47" s="85">
        <f>-SUMIF('M1 Freelancers'!$A:$A,'M1 Freelancers'!$A$6,'M1 Freelancers'!F:F)</f>
        <v>-300</v>
      </c>
      <c r="D47" s="85">
        <f>-SUMIF('M1 Freelancers'!$A:$A,'M1 Freelancers'!$A$6,'M1 Freelancers'!G:G)</f>
        <v>-300</v>
      </c>
      <c r="E47" s="85">
        <f>-SUMIF('M1 Freelancers'!$A:$A,'M1 Freelancers'!$A$6,'M1 Freelancers'!H:H)</f>
        <v>-300</v>
      </c>
      <c r="F47" s="85">
        <f>-SUMIF('M1 Freelancers'!$A:$A,'M1 Freelancers'!$A$6,'M1 Freelancers'!I:I)</f>
        <v>-300</v>
      </c>
      <c r="G47" s="85">
        <f>-SUMIF('M1 Freelancers'!$A:$A,'M1 Freelancers'!$A$6,'M1 Freelancers'!J:J)</f>
        <v>-300</v>
      </c>
      <c r="H47" s="85">
        <f>-SUMIF('M1 Freelancers'!$A:$A,'M1 Freelancers'!$A$6,'M1 Freelancers'!K:K)</f>
        <v>-300</v>
      </c>
      <c r="I47" s="85">
        <f>-SUMIF('M1 Freelancers'!$A:$A,'M1 Freelancers'!$A$6,'M1 Freelancers'!L:L)</f>
        <v>-300</v>
      </c>
      <c r="J47" s="85">
        <f>-SUMIF('M1 Freelancers'!$A:$A,'M1 Freelancers'!$A$6,'M1 Freelancers'!M:M)</f>
        <v>-300</v>
      </c>
      <c r="K47" s="85">
        <f>-SUMIF('M1 Freelancers'!$A:$A,'M1 Freelancers'!$A$6,'M1 Freelancers'!N:N)</f>
        <v>-300</v>
      </c>
      <c r="L47" s="71"/>
    </row>
    <row r="48" spans="1:12" s="21" customFormat="1" ht="15" thickBot="1" x14ac:dyDescent="0.4">
      <c r="A48" s="20" t="s">
        <v>4</v>
      </c>
      <c r="B48" s="95">
        <f>SUM(B45:B47)</f>
        <v>-2643.8249999999998</v>
      </c>
      <c r="C48" s="95">
        <f t="shared" ref="C48" si="22">SUM(C45:C47)</f>
        <v>-1154.4916666666663</v>
      </c>
      <c r="D48" s="95">
        <f t="shared" ref="D48" si="23">SUM(D45:D47)</f>
        <v>-560.49166666666633</v>
      </c>
      <c r="E48" s="95">
        <f t="shared" ref="E48" si="24">SUM(E45:E47)</f>
        <v>-316.99166666666633</v>
      </c>
      <c r="F48" s="95">
        <f t="shared" ref="F48" si="25">SUM(F45:F47)</f>
        <v>-168.49166666666656</v>
      </c>
      <c r="G48" s="95">
        <f t="shared" ref="G48" si="26">SUM(G45:G47)</f>
        <v>-168.49166666666656</v>
      </c>
      <c r="H48" s="95">
        <f t="shared" ref="H48" si="27">SUM(H45:H47)</f>
        <v>-168.49166666666656</v>
      </c>
      <c r="I48" s="95">
        <f t="shared" ref="I48" si="28">SUM(I45:I47)</f>
        <v>-168.49166666666656</v>
      </c>
      <c r="J48" s="95">
        <f t="shared" ref="J48" si="29">SUM(J45:J47)</f>
        <v>-168.49166666666656</v>
      </c>
      <c r="K48" s="95">
        <f t="shared" ref="K48" si="30">SUM(K45:K47)</f>
        <v>-168.49166666666656</v>
      </c>
      <c r="L48" s="73"/>
    </row>
    <row r="49" spans="1:12" ht="15" thickTop="1" x14ac:dyDescent="0.35">
      <c r="A49" s="11" t="s">
        <v>54</v>
      </c>
      <c r="B49" s="85">
        <f>-SUMIF(OH!$A:$A,$A$44,OH!E:E)</f>
        <v>-1029.2</v>
      </c>
      <c r="C49" s="85">
        <f>-SUMIF(OH!$A:$A,$A$44,OH!F:F)</f>
        <v>-1029.2</v>
      </c>
      <c r="D49" s="85">
        <f>-SUMIF(OH!$A:$A,$A$44,OH!G:G)</f>
        <v>-862.53333333333342</v>
      </c>
      <c r="E49" s="85">
        <f>-SUMIF(OH!$A:$A,$A$44,OH!H:H)</f>
        <v>-862.53333333333342</v>
      </c>
      <c r="F49" s="85">
        <f>-SUMIF(OH!$A:$A,$A$44,OH!I:I)</f>
        <v>-862.53333333333342</v>
      </c>
      <c r="G49" s="85">
        <f>-SUMIF(OH!$A:$A,$A$44,OH!J:J)</f>
        <v>-862.53333333333342</v>
      </c>
      <c r="H49" s="85">
        <f>-SUMIF(OH!$A:$A,$A$44,OH!K:K)</f>
        <v>-862.53333333333342</v>
      </c>
      <c r="I49" s="85">
        <f>-SUMIF(OH!$A:$A,$A$44,OH!L:L)</f>
        <v>-862.53333333333342</v>
      </c>
      <c r="J49" s="85">
        <f>-SUMIF(OH!$A:$A,$A$44,OH!M:M)</f>
        <v>-862.53333333333342</v>
      </c>
      <c r="K49" s="85">
        <f>-SUMIF(OH!$A:$A,$A$44,OH!N:N)</f>
        <v>-862.53333333333342</v>
      </c>
      <c r="L49" s="71"/>
    </row>
    <row r="50" spans="1:12" s="21" customFormat="1" ht="15" thickBot="1" x14ac:dyDescent="0.4">
      <c r="A50" s="20" t="s">
        <v>55</v>
      </c>
      <c r="B50" s="94">
        <f>SUM(B48:B49)</f>
        <v>-3673.0249999999996</v>
      </c>
      <c r="C50" s="94">
        <f t="shared" ref="C50:K50" si="31">SUM(C48:C49)</f>
        <v>-2183.6916666666666</v>
      </c>
      <c r="D50" s="94">
        <f t="shared" si="31"/>
        <v>-1423.0249999999996</v>
      </c>
      <c r="E50" s="94">
        <f t="shared" si="31"/>
        <v>-1179.5249999999996</v>
      </c>
      <c r="F50" s="94">
        <f t="shared" si="31"/>
        <v>-1031.0250000000001</v>
      </c>
      <c r="G50" s="94">
        <f t="shared" si="31"/>
        <v>-1031.0250000000001</v>
      </c>
      <c r="H50" s="94">
        <f t="shared" si="31"/>
        <v>-1031.0250000000001</v>
      </c>
      <c r="I50" s="94">
        <f t="shared" si="31"/>
        <v>-1031.0250000000001</v>
      </c>
      <c r="J50" s="94">
        <f t="shared" si="31"/>
        <v>-1031.0250000000001</v>
      </c>
      <c r="K50" s="94">
        <f t="shared" si="31"/>
        <v>-1031.0250000000001</v>
      </c>
      <c r="L50" s="73"/>
    </row>
    <row r="51" spans="1:12" ht="15" thickTop="1" x14ac:dyDescent="0.35">
      <c r="A51" s="11"/>
    </row>
    <row r="52" spans="1:12" x14ac:dyDescent="0.35">
      <c r="A52" s="11"/>
    </row>
    <row r="53" spans="1:12" s="15" customFormat="1" x14ac:dyDescent="0.35">
      <c r="A53" s="22" t="s">
        <v>18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8"/>
    </row>
    <row r="54" spans="1:12" x14ac:dyDescent="0.35">
      <c r="A54" s="11" t="s">
        <v>10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1"/>
    </row>
    <row r="55" spans="1:12" x14ac:dyDescent="0.35">
      <c r="A55" s="11" t="s">
        <v>53</v>
      </c>
      <c r="B55" s="85">
        <f>-SUMIF('M1 Staff costs'!$A:$A,$A$53,'M1 Staff costs'!I:I)</f>
        <v>-1591.4250000000002</v>
      </c>
      <c r="C55" s="85">
        <f>-SUMIF('M1 Staff costs'!$A:$A,$A$53,'M1 Staff costs'!J:J)</f>
        <v>-1710.2250000000001</v>
      </c>
      <c r="D55" s="85">
        <f>-SUMIF('M1 Staff costs'!$A:$A,$A$53,'M1 Staff costs'!K:K)</f>
        <v>-1591.4250000000002</v>
      </c>
      <c r="E55" s="85">
        <f>-SUMIF('M1 Staff costs'!$A:$A,$A$53,'M1 Staff costs'!L:L)</f>
        <v>-1347.9250000000002</v>
      </c>
      <c r="F55" s="85">
        <f>-SUMIF('M1 Staff costs'!$A:$A,$A$53,'M1 Staff costs'!M:M)</f>
        <v>-1199.4250000000002</v>
      </c>
      <c r="G55" s="85">
        <f>-SUMIF('M1 Staff costs'!$A:$A,$A$53,'M1 Staff costs'!N:N)</f>
        <v>-1199.4250000000002</v>
      </c>
      <c r="H55" s="85">
        <f>-SUMIF('M1 Staff costs'!$A:$A,$A$53,'M1 Staff costs'!O:O)</f>
        <v>-1199.4250000000002</v>
      </c>
      <c r="I55" s="85">
        <f>-SUMIF('M1 Staff costs'!$A:$A,$A$53,'M1 Staff costs'!P:P)</f>
        <v>-1199.4250000000002</v>
      </c>
      <c r="J55" s="85">
        <f>-SUMIF('M1 Staff costs'!$A:$A,$A$53,'M1 Staff costs'!Q:Q)</f>
        <v>-1199.4250000000002</v>
      </c>
      <c r="K55" s="85">
        <f>-SUMIF('M1 Staff costs'!$A:$A,$A$53,'M1 Staff costs'!R:R)</f>
        <v>-1199.4250000000002</v>
      </c>
      <c r="L55" s="71"/>
    </row>
    <row r="56" spans="1:12" x14ac:dyDescent="0.35">
      <c r="A56" s="11" t="s">
        <v>56</v>
      </c>
      <c r="B56" s="85">
        <f>-SUMIF('M1 Freelancers'!$A:$A,'M1 Freelancers'!$A$7,'M1 Freelancers'!E:E)</f>
        <v>-133.33333333333334</v>
      </c>
      <c r="C56" s="85">
        <f>-SUMIF('M1 Freelancers'!$A:$A,'M1 Freelancers'!$A$7,'M1 Freelancers'!F:F)</f>
        <v>-133.33333333333334</v>
      </c>
      <c r="D56" s="85">
        <f>-SUMIF('M1 Freelancers'!$A:$A,'M1 Freelancers'!$A$7,'M1 Freelancers'!G:G)</f>
        <v>-133.33333333333334</v>
      </c>
      <c r="E56" s="85">
        <f>-SUMIF('M1 Freelancers'!$A:$A,'M1 Freelancers'!$A$7,'M1 Freelancers'!H:H)</f>
        <v>-133.33333333333334</v>
      </c>
      <c r="F56" s="85">
        <f>-SUMIF('M1 Freelancers'!$A:$A,'M1 Freelancers'!$A$7,'M1 Freelancers'!I:I)</f>
        <v>-133.33333333333334</v>
      </c>
      <c r="G56" s="85">
        <f>-SUMIF('M1 Freelancers'!$A:$A,'M1 Freelancers'!$A$7,'M1 Freelancers'!J:J)</f>
        <v>-133.33333333333334</v>
      </c>
      <c r="H56" s="85">
        <f>-SUMIF('M1 Freelancers'!$A:$A,'M1 Freelancers'!$A$7,'M1 Freelancers'!K:K)</f>
        <v>-133.33333333333334</v>
      </c>
      <c r="I56" s="85">
        <f>-SUMIF('M1 Freelancers'!$A:$A,'M1 Freelancers'!$A$7,'M1 Freelancers'!L:L)</f>
        <v>-133.33333333333334</v>
      </c>
      <c r="J56" s="85">
        <f>-SUMIF('M1 Freelancers'!$A:$A,'M1 Freelancers'!$A$7,'M1 Freelancers'!M:M)</f>
        <v>-133.33333333333334</v>
      </c>
      <c r="K56" s="85">
        <f>-SUMIF('M1 Freelancers'!$A:$A,'M1 Freelancers'!$A$7,'M1 Freelancers'!N:N)</f>
        <v>-133.33333333333334</v>
      </c>
      <c r="L56" s="71"/>
    </row>
    <row r="57" spans="1:12" s="21" customFormat="1" ht="15" thickBot="1" x14ac:dyDescent="0.4">
      <c r="A57" s="20" t="s">
        <v>4</v>
      </c>
      <c r="B57" s="95">
        <f>SUM(B54:B56)</f>
        <v>-1724.7583333333334</v>
      </c>
      <c r="C57" s="95">
        <f t="shared" ref="C57" si="32">SUM(C54:C56)</f>
        <v>-1843.5583333333334</v>
      </c>
      <c r="D57" s="95">
        <f t="shared" ref="D57" si="33">SUM(D54:D56)</f>
        <v>-1724.7583333333334</v>
      </c>
      <c r="E57" s="95">
        <f t="shared" ref="E57" si="34">SUM(E54:E56)</f>
        <v>-1481.2583333333334</v>
      </c>
      <c r="F57" s="95">
        <f t="shared" ref="F57" si="35">SUM(F54:F56)</f>
        <v>-1332.7583333333334</v>
      </c>
      <c r="G57" s="95">
        <f t="shared" ref="G57" si="36">SUM(G54:G56)</f>
        <v>-1332.7583333333334</v>
      </c>
      <c r="H57" s="95">
        <f t="shared" ref="H57" si="37">SUM(H54:H56)</f>
        <v>-1332.7583333333334</v>
      </c>
      <c r="I57" s="95">
        <f t="shared" ref="I57" si="38">SUM(I54:I56)</f>
        <v>-1332.7583333333334</v>
      </c>
      <c r="J57" s="95">
        <f t="shared" ref="J57" si="39">SUM(J54:J56)</f>
        <v>-1332.7583333333334</v>
      </c>
      <c r="K57" s="95">
        <f t="shared" ref="K57" si="40">SUM(K54:K56)</f>
        <v>-1332.7583333333334</v>
      </c>
      <c r="L57" s="73"/>
    </row>
    <row r="58" spans="1:12" ht="15" thickTop="1" x14ac:dyDescent="0.35">
      <c r="A58" s="11" t="s">
        <v>54</v>
      </c>
      <c r="B58" s="85">
        <f>-SUMIF(OH!$A:$A,$A$53,OH!E:E)</f>
        <v>-1029.2</v>
      </c>
      <c r="C58" s="85">
        <f>-SUMIF(OH!$A:$A,$A$53,OH!F:F)</f>
        <v>-1029.2</v>
      </c>
      <c r="D58" s="85">
        <f>-SUMIF(OH!$A:$A,$A$53,OH!G:G)</f>
        <v>-862.53333333333342</v>
      </c>
      <c r="E58" s="85">
        <f>-SUMIF(OH!$A:$A,$A$53,OH!H:H)</f>
        <v>-862.53333333333342</v>
      </c>
      <c r="F58" s="85">
        <f>-SUMIF(OH!$A:$A,$A$53,OH!I:I)</f>
        <v>-862.53333333333342</v>
      </c>
      <c r="G58" s="85">
        <f>-SUMIF(OH!$A:$A,$A$53,OH!J:J)</f>
        <v>-862.53333333333342</v>
      </c>
      <c r="H58" s="85">
        <f>-SUMIF(OH!$A:$A,$A$53,OH!K:K)</f>
        <v>-862.53333333333342</v>
      </c>
      <c r="I58" s="85">
        <f>-SUMIF(OH!$A:$A,$A$53,OH!L:L)</f>
        <v>-862.53333333333342</v>
      </c>
      <c r="J58" s="85">
        <f>-SUMIF(OH!$A:$A,$A$53,OH!M:M)</f>
        <v>-862.53333333333342</v>
      </c>
      <c r="K58" s="85">
        <f>-SUMIF(OH!$A:$A,$A$53,OH!N:N)</f>
        <v>-862.53333333333342</v>
      </c>
      <c r="L58" s="71"/>
    </row>
    <row r="59" spans="1:12" s="21" customFormat="1" ht="15" thickBot="1" x14ac:dyDescent="0.4">
      <c r="A59" s="20" t="s">
        <v>55</v>
      </c>
      <c r="B59" s="94">
        <f>SUM(B57:B58)</f>
        <v>-2753.9583333333335</v>
      </c>
      <c r="C59" s="94">
        <f t="shared" ref="C59" si="41">SUM(C57:C58)</f>
        <v>-2872.7583333333332</v>
      </c>
      <c r="D59" s="94">
        <f t="shared" ref="D59" si="42">SUM(D57:D58)</f>
        <v>-2587.291666666667</v>
      </c>
      <c r="E59" s="94">
        <f t="shared" ref="E59" si="43">SUM(E57:E58)</f>
        <v>-2343.791666666667</v>
      </c>
      <c r="F59" s="94">
        <f t="shared" ref="F59" si="44">SUM(F57:F58)</f>
        <v>-2195.291666666667</v>
      </c>
      <c r="G59" s="94">
        <f t="shared" ref="G59" si="45">SUM(G57:G58)</f>
        <v>-2195.291666666667</v>
      </c>
      <c r="H59" s="94">
        <f t="shared" ref="H59" si="46">SUM(H57:H58)</f>
        <v>-2195.291666666667</v>
      </c>
      <c r="I59" s="94">
        <f t="shared" ref="I59" si="47">SUM(I57:I58)</f>
        <v>-2195.291666666667</v>
      </c>
      <c r="J59" s="94">
        <f t="shared" ref="J59" si="48">SUM(J57:J58)</f>
        <v>-2195.291666666667</v>
      </c>
      <c r="K59" s="94">
        <f t="shared" ref="K59" si="49">SUM(K57:K58)</f>
        <v>-2195.291666666667</v>
      </c>
      <c r="L59" s="73"/>
    </row>
    <row r="60" spans="1:12" ht="15" thickTop="1" x14ac:dyDescent="0.35">
      <c r="A60" s="11"/>
    </row>
    <row r="61" spans="1:12" x14ac:dyDescent="0.35">
      <c r="A61" s="11"/>
    </row>
    <row r="62" spans="1:12" s="15" customFormat="1" x14ac:dyDescent="0.35">
      <c r="A62" s="22" t="s">
        <v>19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8"/>
    </row>
    <row r="63" spans="1:12" x14ac:dyDescent="0.35">
      <c r="A63" s="11" t="s">
        <v>10</v>
      </c>
      <c r="B63" s="70">
        <v>0</v>
      </c>
      <c r="C63" s="70">
        <v>0</v>
      </c>
      <c r="D63" s="70">
        <v>0</v>
      </c>
      <c r="E63" s="70">
        <v>0</v>
      </c>
      <c r="F63" s="70">
        <v>0</v>
      </c>
      <c r="G63" s="70">
        <v>0</v>
      </c>
      <c r="H63" s="70">
        <v>0</v>
      </c>
      <c r="I63" s="70">
        <v>0</v>
      </c>
      <c r="J63" s="70">
        <v>0</v>
      </c>
      <c r="K63" s="70">
        <v>0</v>
      </c>
      <c r="L63" s="71"/>
    </row>
    <row r="64" spans="1:12" x14ac:dyDescent="0.35">
      <c r="A64" s="11" t="s">
        <v>53</v>
      </c>
      <c r="B64" s="85">
        <f>-SUMIF('M1 Staff costs'!$A:$A,$A$62,'M1 Staff costs'!I:I)</f>
        <v>-796.95</v>
      </c>
      <c r="C64" s="85">
        <f>-SUMIF('M1 Staff costs'!$A:$A,$A$62,'M1 Staff costs'!J:J)</f>
        <v>-1034.5500000000002</v>
      </c>
      <c r="D64" s="85">
        <f>-SUMIF('M1 Staff costs'!$A:$A,$A$62,'M1 Staff costs'!K:K)</f>
        <v>-796.95</v>
      </c>
      <c r="E64" s="85">
        <f>-SUMIF('M1 Staff costs'!$A:$A,$A$62,'M1 Staff costs'!L:L)</f>
        <v>-648.45000000000005</v>
      </c>
      <c r="F64" s="85">
        <f>-SUMIF('M1 Staff costs'!$A:$A,$A$62,'M1 Staff costs'!M:M)</f>
        <v>-499.95000000000005</v>
      </c>
      <c r="G64" s="85">
        <f>-SUMIF('M1 Staff costs'!$A:$A,$A$62,'M1 Staff costs'!N:N)</f>
        <v>-499.95000000000005</v>
      </c>
      <c r="H64" s="85">
        <f>-SUMIF('M1 Staff costs'!$A:$A,$A$62,'M1 Staff costs'!O:O)</f>
        <v>-499.95000000000005</v>
      </c>
      <c r="I64" s="85">
        <f>-SUMIF('M1 Staff costs'!$A:$A,$A$62,'M1 Staff costs'!P:P)</f>
        <v>-499.95000000000005</v>
      </c>
      <c r="J64" s="85">
        <f>-SUMIF('M1 Staff costs'!$A:$A,$A$62,'M1 Staff costs'!Q:Q)</f>
        <v>-499.95000000000005</v>
      </c>
      <c r="K64" s="85">
        <f>-SUMIF('M1 Staff costs'!$A:$A,$A$62,'M1 Staff costs'!R:R)</f>
        <v>-499.95000000000005</v>
      </c>
      <c r="L64" s="71"/>
    </row>
    <row r="65" spans="1:12" x14ac:dyDescent="0.35">
      <c r="A65" s="11" t="s">
        <v>56</v>
      </c>
      <c r="B65" s="85">
        <f>-SUMIF('M1 Freelancers'!$A:$A,'M1 Freelancers'!$A$9,'M1 Freelancers'!E:E)</f>
        <v>-133.33333333333334</v>
      </c>
      <c r="C65" s="85">
        <f>-SUMIF('M1 Freelancers'!$A:$A,'M1 Freelancers'!$A$9,'M1 Freelancers'!F:F)</f>
        <v>-133.33333333333334</v>
      </c>
      <c r="D65" s="85">
        <f>-SUMIF('M1 Freelancers'!$A:$A,'M1 Freelancers'!$A$9,'M1 Freelancers'!G:G)</f>
        <v>-133.33333333333334</v>
      </c>
      <c r="E65" s="85">
        <f>-SUMIF('M1 Freelancers'!$A:$A,'M1 Freelancers'!$A$9,'M1 Freelancers'!H:H)</f>
        <v>-133.33333333333334</v>
      </c>
      <c r="F65" s="85">
        <f>-SUMIF('M1 Freelancers'!$A:$A,'M1 Freelancers'!$A$9,'M1 Freelancers'!I:I)</f>
        <v>-133.33333333333334</v>
      </c>
      <c r="G65" s="85">
        <f>-SUMIF('M1 Freelancers'!$A:$A,'M1 Freelancers'!$A$9,'M1 Freelancers'!J:J)</f>
        <v>-133.33333333333334</v>
      </c>
      <c r="H65" s="85">
        <f>-SUMIF('M1 Freelancers'!$A:$A,'M1 Freelancers'!$A$9,'M1 Freelancers'!K:K)</f>
        <v>-133.33333333333334</v>
      </c>
      <c r="I65" s="85">
        <f>-SUMIF('M1 Freelancers'!$A:$A,'M1 Freelancers'!$A$9,'M1 Freelancers'!L:L)</f>
        <v>-133.33333333333334</v>
      </c>
      <c r="J65" s="85">
        <f>-SUMIF('M1 Freelancers'!$A:$A,'M1 Freelancers'!$A$9,'M1 Freelancers'!M:M)</f>
        <v>-133.33333333333334</v>
      </c>
      <c r="K65" s="85">
        <f>-SUMIF('M1 Freelancers'!$A:$A,'M1 Freelancers'!$A$9,'M1 Freelancers'!N:N)</f>
        <v>-133.33333333333334</v>
      </c>
      <c r="L65" s="71"/>
    </row>
    <row r="66" spans="1:12" s="21" customFormat="1" ht="15" thickBot="1" x14ac:dyDescent="0.4">
      <c r="A66" s="20" t="s">
        <v>4</v>
      </c>
      <c r="B66" s="95">
        <f>SUM(B63:B65)</f>
        <v>-930.28333333333342</v>
      </c>
      <c r="C66" s="95">
        <f t="shared" ref="C66" si="50">SUM(C63:C65)</f>
        <v>-1167.8833333333334</v>
      </c>
      <c r="D66" s="95">
        <f t="shared" ref="D66" si="51">SUM(D63:D65)</f>
        <v>-930.28333333333342</v>
      </c>
      <c r="E66" s="95">
        <f t="shared" ref="E66" si="52">SUM(E63:E65)</f>
        <v>-781.78333333333342</v>
      </c>
      <c r="F66" s="95">
        <f t="shared" ref="F66" si="53">SUM(F63:F65)</f>
        <v>-633.28333333333342</v>
      </c>
      <c r="G66" s="95">
        <f t="shared" ref="G66" si="54">SUM(G63:G65)</f>
        <v>-633.28333333333342</v>
      </c>
      <c r="H66" s="95">
        <f t="shared" ref="H66" si="55">SUM(H63:H65)</f>
        <v>-633.28333333333342</v>
      </c>
      <c r="I66" s="95">
        <f t="shared" ref="I66" si="56">SUM(I63:I65)</f>
        <v>-633.28333333333342</v>
      </c>
      <c r="J66" s="95">
        <f t="shared" ref="J66" si="57">SUM(J63:J65)</f>
        <v>-633.28333333333342</v>
      </c>
      <c r="K66" s="95">
        <f t="shared" ref="K66" si="58">SUM(K63:K65)</f>
        <v>-633.28333333333342</v>
      </c>
      <c r="L66" s="73"/>
    </row>
    <row r="67" spans="1:12" ht="15" thickTop="1" x14ac:dyDescent="0.35">
      <c r="A67" s="11" t="s">
        <v>54</v>
      </c>
      <c r="B67" s="85">
        <f>-SUMIF(OH!$A:$A,$A$62,OH!E:E)</f>
        <v>-851.6</v>
      </c>
      <c r="C67" s="85">
        <f>-SUMIF(OH!$A:$A,$A$62,OH!F:F)</f>
        <v>-851.6</v>
      </c>
      <c r="D67" s="85">
        <f>-SUMIF(OH!$A:$A,$A$62,OH!G:G)</f>
        <v>-684.93333333333339</v>
      </c>
      <c r="E67" s="85">
        <f>-SUMIF(OH!$A:$A,$A$62,OH!H:H)</f>
        <v>-684.93333333333339</v>
      </c>
      <c r="F67" s="85">
        <f>-SUMIF(OH!$A:$A,$A$62,OH!I:I)</f>
        <v>-684.93333333333339</v>
      </c>
      <c r="G67" s="85">
        <f>-SUMIF(OH!$A:$A,$A$62,OH!J:J)</f>
        <v>-684.93333333333339</v>
      </c>
      <c r="H67" s="85">
        <f>-SUMIF(OH!$A:$A,$A$62,OH!K:K)</f>
        <v>-684.93333333333339</v>
      </c>
      <c r="I67" s="85">
        <f>-SUMIF(OH!$A:$A,$A$62,OH!L:L)</f>
        <v>-684.93333333333339</v>
      </c>
      <c r="J67" s="85">
        <f>-SUMIF(OH!$A:$A,$A$62,OH!M:M)</f>
        <v>-684.93333333333339</v>
      </c>
      <c r="K67" s="85">
        <f>-SUMIF(OH!$A:$A,$A$62,OH!N:N)</f>
        <v>-684.93333333333339</v>
      </c>
      <c r="L67" s="71"/>
    </row>
    <row r="68" spans="1:12" s="21" customFormat="1" ht="15" thickBot="1" x14ac:dyDescent="0.4">
      <c r="A68" s="20" t="s">
        <v>55</v>
      </c>
      <c r="B68" s="94">
        <f>SUM(B66:B67)</f>
        <v>-1781.8833333333334</v>
      </c>
      <c r="C68" s="94">
        <f t="shared" ref="C68" si="59">SUM(C66:C67)</f>
        <v>-2019.4833333333336</v>
      </c>
      <c r="D68" s="94">
        <f t="shared" ref="D68" si="60">SUM(D66:D67)</f>
        <v>-1615.2166666666667</v>
      </c>
      <c r="E68" s="94">
        <f t="shared" ref="E68" si="61">SUM(E66:E67)</f>
        <v>-1466.7166666666667</v>
      </c>
      <c r="F68" s="94">
        <f t="shared" ref="F68" si="62">SUM(F66:F67)</f>
        <v>-1318.2166666666667</v>
      </c>
      <c r="G68" s="94">
        <f t="shared" ref="G68" si="63">SUM(G66:G67)</f>
        <v>-1318.2166666666667</v>
      </c>
      <c r="H68" s="94">
        <f t="shared" ref="H68" si="64">SUM(H66:H67)</f>
        <v>-1318.2166666666667</v>
      </c>
      <c r="I68" s="94">
        <f t="shared" ref="I68" si="65">SUM(I66:I67)</f>
        <v>-1318.2166666666667</v>
      </c>
      <c r="J68" s="94">
        <f t="shared" ref="J68" si="66">SUM(J66:J67)</f>
        <v>-1318.2166666666667</v>
      </c>
      <c r="K68" s="94">
        <f t="shared" ref="K68" si="67">SUM(K66:K67)</f>
        <v>-1318.2166666666667</v>
      </c>
      <c r="L68" s="73"/>
    </row>
    <row r="69" spans="1:12" ht="15" thickTop="1" x14ac:dyDescent="0.35">
      <c r="A69" s="11"/>
    </row>
    <row r="70" spans="1:12" x14ac:dyDescent="0.35">
      <c r="A70" s="11"/>
    </row>
    <row r="71" spans="1:12" s="15" customFormat="1" x14ac:dyDescent="0.35">
      <c r="A71" s="22" t="s">
        <v>37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8"/>
    </row>
    <row r="72" spans="1:12" x14ac:dyDescent="0.35">
      <c r="A72" s="11" t="s">
        <v>10</v>
      </c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1"/>
    </row>
    <row r="73" spans="1:12" s="13" customFormat="1" x14ac:dyDescent="0.35">
      <c r="A73" s="11" t="s">
        <v>53</v>
      </c>
      <c r="B73" s="85">
        <f>-SUMIF('M1 Staff costs'!$A:$A,$A$71,'M1 Staff costs'!I:I)</f>
        <v>2200.833333333333</v>
      </c>
      <c r="C73" s="85">
        <f>-SUMIF('M1 Staff costs'!$A:$A,$A$71,'M1 Staff costs'!J:J)</f>
        <v>2200.833333333333</v>
      </c>
      <c r="D73" s="85">
        <f>-SUMIF('M1 Staff costs'!$A:$A,$A$71,'M1 Staff costs'!K:K)</f>
        <v>1650.625</v>
      </c>
      <c r="E73" s="85">
        <f>-SUMIF('M1 Staff costs'!$A:$A,$A$71,'M1 Staff costs'!L:L)</f>
        <v>0</v>
      </c>
      <c r="F73" s="85">
        <f>-SUMIF('M1 Staff costs'!$A:$A,$A$71,'M1 Staff costs'!M:M)</f>
        <v>0</v>
      </c>
      <c r="G73" s="85">
        <f>-SUMIF('M1 Staff costs'!$A:$A,$A$71,'M1 Staff costs'!N:N)</f>
        <v>0</v>
      </c>
      <c r="H73" s="85">
        <f>-SUMIF('M1 Staff costs'!$A:$A,$A$71,'M1 Staff costs'!O:O)</f>
        <v>0</v>
      </c>
      <c r="I73" s="85">
        <f>-SUMIF('M1 Staff costs'!$A:$A,$A$71,'M1 Staff costs'!P:P)</f>
        <v>0</v>
      </c>
      <c r="J73" s="85">
        <f>-SUMIF('M1 Staff costs'!$A:$A,$A$71,'M1 Staff costs'!Q:Q)</f>
        <v>0</v>
      </c>
      <c r="K73" s="85">
        <f>-SUMIF('M1 Staff costs'!$A:$A,$A$71,'M1 Staff costs'!R:R)</f>
        <v>0</v>
      </c>
      <c r="L73" s="71"/>
    </row>
    <row r="74" spans="1:12" s="21" customFormat="1" ht="15" thickBot="1" x14ac:dyDescent="0.4">
      <c r="A74" s="11" t="s">
        <v>56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71"/>
    </row>
    <row r="75" spans="1:12" ht="15.5" thickTop="1" thickBot="1" x14ac:dyDescent="0.4">
      <c r="A75" s="20" t="s">
        <v>4</v>
      </c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73"/>
    </row>
    <row r="76" spans="1:12" ht="15" thickTop="1" x14ac:dyDescent="0.35">
      <c r="A76" s="11" t="s">
        <v>54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71"/>
    </row>
    <row r="77" spans="1:12" ht="15" thickBot="1" x14ac:dyDescent="0.4">
      <c r="A77" s="20" t="s">
        <v>55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73"/>
    </row>
    <row r="78" spans="1:12" s="13" customFormat="1" ht="12" thickTop="1" x14ac:dyDescent="0.2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7"/>
    </row>
    <row r="79" spans="1:12" s="15" customFormat="1" x14ac:dyDescent="0.35">
      <c r="A79" s="17" t="s">
        <v>6</v>
      </c>
      <c r="B79" s="98">
        <v>45992</v>
      </c>
      <c r="C79" s="98">
        <v>46023</v>
      </c>
      <c r="D79" s="98">
        <v>46054</v>
      </c>
      <c r="E79" s="98">
        <v>46082</v>
      </c>
      <c r="F79" s="98">
        <v>46113</v>
      </c>
      <c r="G79" s="98">
        <v>46143</v>
      </c>
      <c r="H79" s="98">
        <v>46174</v>
      </c>
      <c r="I79" s="98">
        <v>46204</v>
      </c>
      <c r="J79" s="98">
        <v>46235</v>
      </c>
      <c r="K79" s="98">
        <v>46266</v>
      </c>
      <c r="L79" s="8"/>
    </row>
    <row r="80" spans="1:12" x14ac:dyDescent="0.35">
      <c r="A80" s="96" t="s">
        <v>10</v>
      </c>
      <c r="B80" s="70">
        <f>B4+B10+B19+B27+B36+B45+B54+B63+B72</f>
        <v>26566.666666666668</v>
      </c>
      <c r="C80" s="70">
        <f t="shared" ref="B80:K80" si="68">C4+C10+C19+C27+C36+C45+C54+C63+C72</f>
        <v>14833.333333333334</v>
      </c>
      <c r="D80" s="70">
        <f t="shared" si="68"/>
        <v>14833.333333333334</v>
      </c>
      <c r="E80" s="70">
        <f t="shared" si="68"/>
        <v>14833.333333333334</v>
      </c>
      <c r="F80" s="70">
        <f t="shared" si="68"/>
        <v>14833.333333333334</v>
      </c>
      <c r="G80" s="70">
        <f t="shared" si="68"/>
        <v>14833.333333333334</v>
      </c>
      <c r="H80" s="70">
        <f t="shared" si="68"/>
        <v>14833.333333333334</v>
      </c>
      <c r="I80" s="70">
        <f t="shared" si="68"/>
        <v>14833.333333333334</v>
      </c>
      <c r="J80" s="70">
        <f t="shared" si="68"/>
        <v>14833.333333333334</v>
      </c>
      <c r="K80" s="70">
        <f t="shared" si="68"/>
        <v>14833.333333333334</v>
      </c>
      <c r="L80" s="71"/>
    </row>
    <row r="81" spans="1:12" x14ac:dyDescent="0.35">
      <c r="A81" s="96" t="s">
        <v>53</v>
      </c>
      <c r="B81" s="85">
        <f>B5+B11+B20+B28+B37+B46+B55+B64+B73</f>
        <v>-11962.997666666666</v>
      </c>
      <c r="C81" s="85">
        <f t="shared" ref="B81:K81" si="69">C5+C11+C20+C28+C37+C46+C55+C64+C73</f>
        <v>-14101.397666666668</v>
      </c>
      <c r="D81" s="85">
        <f t="shared" si="69"/>
        <v>-11794.561333333331</v>
      </c>
      <c r="E81" s="85">
        <f t="shared" si="69"/>
        <v>-10654.5</v>
      </c>
      <c r="F81" s="85">
        <f t="shared" si="69"/>
        <v>-9912</v>
      </c>
      <c r="G81" s="85">
        <f t="shared" si="69"/>
        <v>-9912</v>
      </c>
      <c r="H81" s="85">
        <f t="shared" si="69"/>
        <v>-9912</v>
      </c>
      <c r="I81" s="85">
        <f t="shared" si="69"/>
        <v>-9912</v>
      </c>
      <c r="J81" s="85">
        <f t="shared" si="69"/>
        <v>-9912</v>
      </c>
      <c r="K81" s="85">
        <f t="shared" si="69"/>
        <v>-9912</v>
      </c>
      <c r="L81" s="71"/>
    </row>
    <row r="82" spans="1:12" x14ac:dyDescent="0.35">
      <c r="A82" s="96" t="s">
        <v>56</v>
      </c>
      <c r="B82" s="85">
        <f>B6+B12+B21+B29+B38+B47+B56+B65+B74</f>
        <v>-1000.0000000000001</v>
      </c>
      <c r="C82" s="85">
        <f t="shared" ref="B82:K82" si="70">C6+C12+C21+C29+C38+C47+C56+C65+C74</f>
        <v>-1000.0000000000001</v>
      </c>
      <c r="D82" s="85">
        <f t="shared" si="70"/>
        <v>-1000.0000000000001</v>
      </c>
      <c r="E82" s="85">
        <f t="shared" si="70"/>
        <v>-1000.0000000000001</v>
      </c>
      <c r="F82" s="85">
        <f t="shared" si="70"/>
        <v>-1000.0000000000001</v>
      </c>
      <c r="G82" s="85">
        <f t="shared" si="70"/>
        <v>-1000.0000000000001</v>
      </c>
      <c r="H82" s="85">
        <f t="shared" si="70"/>
        <v>-1000.0000000000001</v>
      </c>
      <c r="I82" s="85">
        <f t="shared" si="70"/>
        <v>-1000.0000000000001</v>
      </c>
      <c r="J82" s="85">
        <f t="shared" si="70"/>
        <v>-1000.0000000000001</v>
      </c>
      <c r="K82" s="85">
        <f t="shared" si="70"/>
        <v>-1000.0000000000001</v>
      </c>
      <c r="L82" s="71"/>
    </row>
    <row r="83" spans="1:12" s="21" customFormat="1" ht="15" thickBot="1" x14ac:dyDescent="0.4">
      <c r="A83" s="20" t="s">
        <v>4</v>
      </c>
      <c r="B83" s="72">
        <f>SUM(B80:B82)</f>
        <v>13603.669000000002</v>
      </c>
      <c r="C83" s="95">
        <f t="shared" ref="C83" si="71">SUM(C80:C82)</f>
        <v>-268.06433333333382</v>
      </c>
      <c r="D83" s="72">
        <f t="shared" ref="D83" si="72">SUM(D80:D82)</f>
        <v>2038.7720000000027</v>
      </c>
      <c r="E83" s="72">
        <f t="shared" ref="E83" si="73">SUM(E80:E82)</f>
        <v>3178.8333333333339</v>
      </c>
      <c r="F83" s="72">
        <f t="shared" ref="F83" si="74">SUM(F80:F82)</f>
        <v>3921.3333333333339</v>
      </c>
      <c r="G83" s="72">
        <f t="shared" ref="G83" si="75">SUM(G80:G82)</f>
        <v>3921.3333333333339</v>
      </c>
      <c r="H83" s="72">
        <f t="shared" ref="H83" si="76">SUM(H80:H82)</f>
        <v>3921.3333333333339</v>
      </c>
      <c r="I83" s="72">
        <f t="shared" ref="I83" si="77">SUM(I80:I82)</f>
        <v>3921.3333333333339</v>
      </c>
      <c r="J83" s="72">
        <f t="shared" ref="J83" si="78">SUM(J80:J82)</f>
        <v>3921.3333333333339</v>
      </c>
      <c r="K83" s="72">
        <f t="shared" ref="K83" si="79">SUM(K80:K82)</f>
        <v>3921.3333333333339</v>
      </c>
      <c r="L83" s="73"/>
    </row>
    <row r="84" spans="1:12" ht="15" thickTop="1" x14ac:dyDescent="0.35">
      <c r="A84" s="96" t="s">
        <v>54</v>
      </c>
      <c r="B84" s="85">
        <f>B8+B14+B23+B31+B40+B49+B58+B67+B78</f>
        <v>-4968.4000000000005</v>
      </c>
      <c r="C84" s="85">
        <f t="shared" ref="B84:K84" si="80">C8+C14+C23+C31+C40+C49+C58+C67+C78</f>
        <v>-4968.4000000000005</v>
      </c>
      <c r="D84" s="85">
        <f t="shared" si="80"/>
        <v>-4135.0666666666675</v>
      </c>
      <c r="E84" s="85">
        <f t="shared" si="80"/>
        <v>-4135.0666666666675</v>
      </c>
      <c r="F84" s="85">
        <f t="shared" si="80"/>
        <v>-4135.0666666666675</v>
      </c>
      <c r="G84" s="85">
        <f t="shared" si="80"/>
        <v>-4135.0666666666675</v>
      </c>
      <c r="H84" s="85">
        <f t="shared" si="80"/>
        <v>-4135.0666666666675</v>
      </c>
      <c r="I84" s="85">
        <f t="shared" si="80"/>
        <v>-4135.0666666666675</v>
      </c>
      <c r="J84" s="85">
        <f t="shared" si="80"/>
        <v>-4135.0666666666675</v>
      </c>
      <c r="K84" s="85">
        <f t="shared" si="80"/>
        <v>-4135.0666666666675</v>
      </c>
      <c r="L84" s="71"/>
    </row>
    <row r="85" spans="1:12" s="21" customFormat="1" ht="15" thickBot="1" x14ac:dyDescent="0.4">
      <c r="A85" s="20" t="s">
        <v>55</v>
      </c>
      <c r="B85" s="80">
        <f>SUM(B83:B84)</f>
        <v>8635.2690000000002</v>
      </c>
      <c r="C85" s="94">
        <f t="shared" ref="C85" si="81">SUM(C83:C84)</f>
        <v>-5236.4643333333343</v>
      </c>
      <c r="D85" s="94">
        <f t="shared" ref="D85" si="82">SUM(D83:D84)</f>
        <v>-2096.2946666666649</v>
      </c>
      <c r="E85" s="94">
        <f t="shared" ref="E85" si="83">SUM(E83:E84)</f>
        <v>-956.23333333333358</v>
      </c>
      <c r="F85" s="94">
        <f t="shared" ref="F85" si="84">SUM(F83:F84)</f>
        <v>-213.73333333333358</v>
      </c>
      <c r="G85" s="94">
        <f t="shared" ref="G85" si="85">SUM(G83:G84)</f>
        <v>-213.73333333333358</v>
      </c>
      <c r="H85" s="94">
        <f t="shared" ref="H85" si="86">SUM(H83:H84)</f>
        <v>-213.73333333333358</v>
      </c>
      <c r="I85" s="94">
        <f t="shared" ref="I85" si="87">SUM(I83:I84)</f>
        <v>-213.73333333333358</v>
      </c>
      <c r="J85" s="94">
        <f t="shared" ref="J85" si="88">SUM(J83:J84)</f>
        <v>-213.73333333333358</v>
      </c>
      <c r="K85" s="94">
        <f t="shared" ref="K85" si="89">SUM(K83:K84)</f>
        <v>-213.73333333333358</v>
      </c>
      <c r="L85" s="73"/>
    </row>
    <row r="86" spans="1:12" ht="15" thickTop="1" x14ac:dyDescent="0.35">
      <c r="A86" s="23"/>
    </row>
    <row r="87" spans="1:12" ht="15" thickBot="1" x14ac:dyDescent="0.4">
      <c r="A87" s="23"/>
      <c r="C87" s="99" t="s">
        <v>57</v>
      </c>
      <c r="D87" s="94">
        <f>SUM(B85:K85)</f>
        <v>-936.1233333333339</v>
      </c>
    </row>
    <row r="88" spans="1:12" ht="15" thickTop="1" x14ac:dyDescent="0.35">
      <c r="A88" s="23"/>
    </row>
    <row r="89" spans="1:12" x14ac:dyDescent="0.35">
      <c r="A89" s="23"/>
    </row>
    <row r="90" spans="1:12" x14ac:dyDescent="0.35">
      <c r="A90" s="23"/>
    </row>
    <row r="91" spans="1:12" x14ac:dyDescent="0.35">
      <c r="A91" s="23"/>
    </row>
    <row r="92" spans="1:12" x14ac:dyDescent="0.35">
      <c r="A92" s="23"/>
    </row>
    <row r="93" spans="1:12" x14ac:dyDescent="0.35">
      <c r="A93" s="23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spans="1:12" x14ac:dyDescent="0.35">
      <c r="A94" s="23"/>
    </row>
    <row r="95" spans="1:12" x14ac:dyDescent="0.35">
      <c r="A95" s="23"/>
    </row>
    <row r="96" spans="1:12" x14ac:dyDescent="0.35">
      <c r="A96" s="65"/>
    </row>
    <row r="97" spans="1:1" x14ac:dyDescent="0.35">
      <c r="A97" s="23"/>
    </row>
    <row r="98" spans="1:1" x14ac:dyDescent="0.35">
      <c r="A98" s="23"/>
    </row>
    <row r="99" spans="1:1" x14ac:dyDescent="0.35">
      <c r="A99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28A2-C4C6-4E83-A338-CE8EF3A9B01C}">
  <sheetPr>
    <tabColor rgb="FF92D050"/>
  </sheetPr>
  <dimension ref="A1:O46"/>
  <sheetViews>
    <sheetView workbookViewId="0">
      <selection activeCell="F49" sqref="F49"/>
    </sheetView>
  </sheetViews>
  <sheetFormatPr defaultRowHeight="13" x14ac:dyDescent="0.3"/>
  <cols>
    <col min="1" max="1" width="27.90625" style="23" bestFit="1" customWidth="1"/>
    <col min="2" max="2" width="9" style="28" hidden="1" customWidth="1"/>
    <col min="3" max="3" width="4.26953125" style="28" hidden="1" customWidth="1"/>
    <col min="4" max="13" width="10.6328125" style="28" bestFit="1" customWidth="1"/>
    <col min="14" max="14" width="8.7265625" style="134"/>
    <col min="15" max="16384" width="8.7265625" style="23"/>
  </cols>
  <sheetData>
    <row r="1" spans="1:14" x14ac:dyDescent="0.3">
      <c r="A1" s="100" t="s">
        <v>8</v>
      </c>
      <c r="B1" s="101" t="s">
        <v>0</v>
      </c>
      <c r="C1" s="101" t="s">
        <v>0</v>
      </c>
      <c r="D1" s="101" t="s">
        <v>1</v>
      </c>
      <c r="E1" s="101" t="s">
        <v>1</v>
      </c>
      <c r="F1" s="101" t="s">
        <v>1</v>
      </c>
      <c r="G1" s="101" t="s">
        <v>1</v>
      </c>
      <c r="H1" s="101" t="s">
        <v>1</v>
      </c>
      <c r="I1" s="101" t="s">
        <v>1</v>
      </c>
      <c r="J1" s="101" t="s">
        <v>1</v>
      </c>
      <c r="K1" s="101" t="s">
        <v>1</v>
      </c>
      <c r="L1" s="101" t="s">
        <v>1</v>
      </c>
      <c r="M1" s="101" t="s">
        <v>1</v>
      </c>
      <c r="N1" s="102"/>
    </row>
    <row r="2" spans="1:14" x14ac:dyDescent="0.3">
      <c r="A2" s="100"/>
      <c r="B2" s="103">
        <v>45931</v>
      </c>
      <c r="C2" s="103">
        <v>45962</v>
      </c>
      <c r="D2" s="103">
        <v>45992</v>
      </c>
      <c r="E2" s="103">
        <v>46023</v>
      </c>
      <c r="F2" s="103">
        <v>46054</v>
      </c>
      <c r="G2" s="103">
        <v>46082</v>
      </c>
      <c r="H2" s="103">
        <v>46113</v>
      </c>
      <c r="I2" s="103">
        <v>46143</v>
      </c>
      <c r="J2" s="103">
        <v>46174</v>
      </c>
      <c r="K2" s="103">
        <v>46204</v>
      </c>
      <c r="L2" s="103">
        <v>46235</v>
      </c>
      <c r="M2" s="103">
        <v>46266</v>
      </c>
      <c r="N2" s="104" t="s">
        <v>2</v>
      </c>
    </row>
    <row r="3" spans="1:14" s="109" customFormat="1" x14ac:dyDescent="0.3">
      <c r="A3" s="105" t="s">
        <v>58</v>
      </c>
      <c r="B3" s="106"/>
      <c r="C3" s="106"/>
      <c r="D3" s="107"/>
      <c r="E3" s="107">
        <v>1500</v>
      </c>
      <c r="F3" s="107">
        <v>1500</v>
      </c>
      <c r="G3" s="107">
        <v>1500</v>
      </c>
      <c r="H3" s="107">
        <v>1500</v>
      </c>
      <c r="I3" s="107">
        <v>1500</v>
      </c>
      <c r="J3" s="107">
        <v>1500</v>
      </c>
      <c r="K3" s="107">
        <v>1500</v>
      </c>
      <c r="L3" s="107">
        <v>1500</v>
      </c>
      <c r="M3" s="107">
        <v>1500</v>
      </c>
      <c r="N3" s="108"/>
    </row>
    <row r="4" spans="1:14" s="109" customFormat="1" x14ac:dyDescent="0.3">
      <c r="A4" s="105" t="s">
        <v>59</v>
      </c>
      <c r="B4" s="106"/>
      <c r="C4" s="106"/>
      <c r="D4" s="107"/>
      <c r="E4" s="107">
        <v>1000</v>
      </c>
      <c r="F4" s="107">
        <v>1000</v>
      </c>
      <c r="G4" s="107">
        <v>1000</v>
      </c>
      <c r="H4" s="107">
        <v>1000</v>
      </c>
      <c r="I4" s="107">
        <v>1000</v>
      </c>
      <c r="J4" s="107">
        <v>1000</v>
      </c>
      <c r="K4" s="107">
        <v>1000</v>
      </c>
      <c r="L4" s="107">
        <v>1000</v>
      </c>
      <c r="M4" s="107">
        <v>1000</v>
      </c>
      <c r="N4" s="108"/>
    </row>
    <row r="5" spans="1:14" s="109" customFormat="1" x14ac:dyDescent="0.3">
      <c r="A5" s="105"/>
      <c r="B5" s="106"/>
      <c r="C5" s="106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08"/>
    </row>
    <row r="6" spans="1:14" s="109" customFormat="1" x14ac:dyDescent="0.3">
      <c r="A6" s="105" t="s">
        <v>60</v>
      </c>
      <c r="B6" s="106"/>
      <c r="C6" s="106"/>
      <c r="D6" s="111"/>
      <c r="E6" s="111">
        <v>9.99</v>
      </c>
      <c r="F6" s="111">
        <v>9.99</v>
      </c>
      <c r="G6" s="111">
        <v>9.99</v>
      </c>
      <c r="H6" s="111">
        <v>9.99</v>
      </c>
      <c r="I6" s="111">
        <v>9.99</v>
      </c>
      <c r="J6" s="111">
        <v>9.99</v>
      </c>
      <c r="K6" s="111">
        <v>9.99</v>
      </c>
      <c r="L6" s="111">
        <v>9.99</v>
      </c>
      <c r="M6" s="111">
        <v>9.99</v>
      </c>
      <c r="N6" s="108"/>
    </row>
    <row r="7" spans="1:14" s="109" customFormat="1" x14ac:dyDescent="0.3">
      <c r="A7" s="105" t="s">
        <v>61</v>
      </c>
      <c r="B7" s="106"/>
      <c r="C7" s="106"/>
      <c r="D7" s="111"/>
      <c r="E7" s="111">
        <v>11.99</v>
      </c>
      <c r="F7" s="111">
        <v>11.99</v>
      </c>
      <c r="G7" s="111">
        <v>11.99</v>
      </c>
      <c r="H7" s="111">
        <v>11.99</v>
      </c>
      <c r="I7" s="111">
        <v>11.99</v>
      </c>
      <c r="J7" s="111">
        <v>11.99</v>
      </c>
      <c r="K7" s="111">
        <v>11.99</v>
      </c>
      <c r="L7" s="111">
        <v>11.99</v>
      </c>
      <c r="M7" s="111">
        <v>11.99</v>
      </c>
      <c r="N7" s="108"/>
    </row>
    <row r="8" spans="1:14" s="109" customFormat="1" x14ac:dyDescent="0.3">
      <c r="A8" s="105" t="s">
        <v>64</v>
      </c>
      <c r="B8" s="106"/>
      <c r="C8" s="106"/>
      <c r="D8" s="112"/>
      <c r="E8" s="112">
        <v>0.35</v>
      </c>
      <c r="F8" s="112">
        <v>0.35</v>
      </c>
      <c r="G8" s="112">
        <v>0.35</v>
      </c>
      <c r="H8" s="112">
        <v>0.35</v>
      </c>
      <c r="I8" s="112">
        <v>0.35</v>
      </c>
      <c r="J8" s="112">
        <v>0.35</v>
      </c>
      <c r="K8" s="112">
        <v>0.35</v>
      </c>
      <c r="L8" s="112">
        <v>0.35</v>
      </c>
      <c r="M8" s="112">
        <v>0.35</v>
      </c>
      <c r="N8" s="113"/>
    </row>
    <row r="9" spans="1:14" x14ac:dyDescent="0.3">
      <c r="A9" s="114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6"/>
    </row>
    <row r="10" spans="1:14" x14ac:dyDescent="0.3">
      <c r="A10" s="117" t="s">
        <v>62</v>
      </c>
      <c r="B10" s="115"/>
      <c r="C10" s="115"/>
      <c r="D10" s="118"/>
      <c r="E10" s="118">
        <f t="shared" ref="E10:M10" si="0">E3*E6</f>
        <v>14985</v>
      </c>
      <c r="F10" s="118">
        <f t="shared" si="0"/>
        <v>14985</v>
      </c>
      <c r="G10" s="118">
        <f t="shared" si="0"/>
        <v>14985</v>
      </c>
      <c r="H10" s="118">
        <f t="shared" si="0"/>
        <v>14985</v>
      </c>
      <c r="I10" s="118">
        <f t="shared" si="0"/>
        <v>14985</v>
      </c>
      <c r="J10" s="118">
        <f t="shared" si="0"/>
        <v>14985</v>
      </c>
      <c r="K10" s="118">
        <f t="shared" si="0"/>
        <v>14985</v>
      </c>
      <c r="L10" s="118">
        <f t="shared" si="0"/>
        <v>14985</v>
      </c>
      <c r="M10" s="118">
        <f t="shared" si="0"/>
        <v>14985</v>
      </c>
      <c r="N10" s="116"/>
    </row>
    <row r="11" spans="1:14" x14ac:dyDescent="0.3">
      <c r="A11" s="119" t="s">
        <v>63</v>
      </c>
      <c r="B11" s="120"/>
      <c r="C11" s="120"/>
      <c r="D11" s="118"/>
      <c r="E11" s="118">
        <f t="shared" ref="E11:M11" si="1">E4*SUM(E7*E8)</f>
        <v>4196.4999999999991</v>
      </c>
      <c r="F11" s="118">
        <f t="shared" si="1"/>
        <v>4196.4999999999991</v>
      </c>
      <c r="G11" s="118">
        <f t="shared" si="1"/>
        <v>4196.4999999999991</v>
      </c>
      <c r="H11" s="118">
        <f t="shared" si="1"/>
        <v>4196.4999999999991</v>
      </c>
      <c r="I11" s="118">
        <f t="shared" si="1"/>
        <v>4196.4999999999991</v>
      </c>
      <c r="J11" s="118">
        <f t="shared" si="1"/>
        <v>4196.4999999999991</v>
      </c>
      <c r="K11" s="118">
        <f t="shared" si="1"/>
        <v>4196.4999999999991</v>
      </c>
      <c r="L11" s="118">
        <f t="shared" si="1"/>
        <v>4196.4999999999991</v>
      </c>
      <c r="M11" s="118">
        <f t="shared" si="1"/>
        <v>4196.4999999999991</v>
      </c>
      <c r="N11" s="121"/>
    </row>
    <row r="12" spans="1:14" x14ac:dyDescent="0.3">
      <c r="A12" s="122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1"/>
    </row>
    <row r="13" spans="1:14" s="40" customFormat="1" ht="13.5" thickBot="1" x14ac:dyDescent="0.35">
      <c r="A13" s="123" t="s">
        <v>6</v>
      </c>
      <c r="B13" s="124">
        <f>SUM(B11:B12)</f>
        <v>0</v>
      </c>
      <c r="C13" s="124">
        <f t="shared" ref="C13" si="2">SUM(C11:C12)</f>
        <v>0</v>
      </c>
      <c r="D13" s="124"/>
      <c r="E13" s="124">
        <f t="shared" ref="E13:M13" si="3">SUM(E10:E11)</f>
        <v>19181.5</v>
      </c>
      <c r="F13" s="124">
        <f t="shared" si="3"/>
        <v>19181.5</v>
      </c>
      <c r="G13" s="124">
        <f t="shared" si="3"/>
        <v>19181.5</v>
      </c>
      <c r="H13" s="124">
        <f t="shared" si="3"/>
        <v>19181.5</v>
      </c>
      <c r="I13" s="124">
        <f t="shared" si="3"/>
        <v>19181.5</v>
      </c>
      <c r="J13" s="124">
        <f t="shared" si="3"/>
        <v>19181.5</v>
      </c>
      <c r="K13" s="124">
        <f t="shared" si="3"/>
        <v>19181.5</v>
      </c>
      <c r="L13" s="124">
        <f t="shared" si="3"/>
        <v>19181.5</v>
      </c>
      <c r="M13" s="124">
        <f t="shared" si="3"/>
        <v>19181.5</v>
      </c>
      <c r="N13" s="125"/>
    </row>
    <row r="14" spans="1:14" ht="13.5" thickTop="1" x14ac:dyDescent="0.3">
      <c r="A14" s="122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1"/>
    </row>
    <row r="15" spans="1:14" x14ac:dyDescent="0.3">
      <c r="A15" s="97" t="s">
        <v>65</v>
      </c>
      <c r="B15" s="120"/>
      <c r="C15" s="120"/>
      <c r="D15" s="31"/>
      <c r="E15" s="120"/>
      <c r="F15" s="120"/>
      <c r="G15" s="120"/>
      <c r="H15" s="120"/>
      <c r="I15" s="120"/>
      <c r="J15" s="120"/>
      <c r="K15" s="120"/>
      <c r="L15" s="120"/>
      <c r="M15" s="120"/>
      <c r="N15" s="121"/>
    </row>
    <row r="16" spans="1:14" x14ac:dyDescent="0.3">
      <c r="A16" s="126" t="s">
        <v>66</v>
      </c>
      <c r="B16" s="120"/>
      <c r="C16" s="120"/>
      <c r="D16" s="31"/>
      <c r="E16" s="120">
        <v>500</v>
      </c>
      <c r="F16" s="120">
        <v>500</v>
      </c>
      <c r="G16" s="120">
        <v>500</v>
      </c>
      <c r="H16" s="120">
        <v>500</v>
      </c>
      <c r="I16" s="120">
        <v>500</v>
      </c>
      <c r="J16" s="120">
        <v>500</v>
      </c>
      <c r="K16" s="120">
        <v>500</v>
      </c>
      <c r="L16" s="120">
        <v>500</v>
      </c>
      <c r="M16" s="120">
        <v>500</v>
      </c>
      <c r="N16" s="121"/>
    </row>
    <row r="17" spans="1:15" x14ac:dyDescent="0.3">
      <c r="A17" s="126" t="s">
        <v>67</v>
      </c>
      <c r="B17" s="120"/>
      <c r="C17" s="120"/>
      <c r="D17" s="31"/>
      <c r="E17" s="120">
        <v>300</v>
      </c>
      <c r="F17" s="120">
        <v>300</v>
      </c>
      <c r="G17" s="120">
        <v>300</v>
      </c>
      <c r="H17" s="120">
        <v>300</v>
      </c>
      <c r="I17" s="120">
        <v>300</v>
      </c>
      <c r="J17" s="120">
        <v>300</v>
      </c>
      <c r="K17" s="120">
        <v>300</v>
      </c>
      <c r="L17" s="120">
        <v>300</v>
      </c>
      <c r="M17" s="120">
        <v>300</v>
      </c>
      <c r="N17" s="121"/>
    </row>
    <row r="18" spans="1:15" x14ac:dyDescent="0.3">
      <c r="A18" s="126" t="s">
        <v>68</v>
      </c>
      <c r="B18" s="120"/>
      <c r="C18" s="120"/>
      <c r="D18" s="31"/>
      <c r="E18" s="120">
        <v>250</v>
      </c>
      <c r="F18" s="120">
        <v>250</v>
      </c>
      <c r="G18" s="120">
        <v>250</v>
      </c>
      <c r="H18" s="120">
        <v>250</v>
      </c>
      <c r="I18" s="120">
        <v>250</v>
      </c>
      <c r="J18" s="120">
        <v>250</v>
      </c>
      <c r="K18" s="120">
        <v>250</v>
      </c>
      <c r="L18" s="120">
        <v>250</v>
      </c>
      <c r="M18" s="120">
        <v>250</v>
      </c>
      <c r="N18" s="121"/>
    </row>
    <row r="19" spans="1:15" x14ac:dyDescent="0.3">
      <c r="A19" s="126" t="s">
        <v>69</v>
      </c>
      <c r="B19" s="120"/>
      <c r="C19" s="120"/>
      <c r="D19" s="31"/>
      <c r="E19" s="120">
        <v>110</v>
      </c>
      <c r="F19" s="120">
        <v>110</v>
      </c>
      <c r="G19" s="120">
        <v>110</v>
      </c>
      <c r="H19" s="120">
        <v>110</v>
      </c>
      <c r="I19" s="120">
        <v>110</v>
      </c>
      <c r="J19" s="120">
        <v>110</v>
      </c>
      <c r="K19" s="120">
        <v>110</v>
      </c>
      <c r="L19" s="120">
        <v>110</v>
      </c>
      <c r="M19" s="120">
        <v>110</v>
      </c>
      <c r="N19" s="121"/>
    </row>
    <row r="20" spans="1:15" x14ac:dyDescent="0.3">
      <c r="A20" s="126"/>
      <c r="B20" s="120"/>
      <c r="C20" s="120"/>
      <c r="D20" s="31"/>
      <c r="E20" s="120"/>
      <c r="F20" s="120"/>
      <c r="G20" s="120"/>
      <c r="H20" s="120"/>
      <c r="I20" s="120"/>
      <c r="J20" s="120"/>
      <c r="K20" s="120"/>
      <c r="L20" s="120"/>
      <c r="M20" s="120"/>
      <c r="N20" s="121"/>
    </row>
    <row r="21" spans="1:15" s="126" customFormat="1" ht="12.5" x14ac:dyDescent="0.25"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8"/>
    </row>
    <row r="22" spans="1:15" s="109" customFormat="1" x14ac:dyDescent="0.3">
      <c r="A22" s="84" t="s">
        <v>75</v>
      </c>
      <c r="B22" s="129" t="e">
        <f>B13+#REF!+#REF!+#REF!</f>
        <v>#REF!</v>
      </c>
      <c r="C22" s="129" t="e">
        <f>C13+#REF!+#REF!+#REF!</f>
        <v>#REF!</v>
      </c>
      <c r="D22" s="130">
        <f>D13</f>
        <v>0</v>
      </c>
      <c r="E22" s="130">
        <f>E13+SUM(E16:E19)</f>
        <v>20341.5</v>
      </c>
      <c r="F22" s="130">
        <f t="shared" ref="F22:M22" si="4">F13+SUM(F16:F19)</f>
        <v>20341.5</v>
      </c>
      <c r="G22" s="130">
        <f t="shared" si="4"/>
        <v>20341.5</v>
      </c>
      <c r="H22" s="130">
        <f t="shared" si="4"/>
        <v>20341.5</v>
      </c>
      <c r="I22" s="130">
        <f t="shared" si="4"/>
        <v>20341.5</v>
      </c>
      <c r="J22" s="130">
        <f t="shared" si="4"/>
        <v>20341.5</v>
      </c>
      <c r="K22" s="130">
        <f t="shared" si="4"/>
        <v>20341.5</v>
      </c>
      <c r="L22" s="130">
        <f t="shared" si="4"/>
        <v>20341.5</v>
      </c>
      <c r="M22" s="130">
        <f t="shared" si="4"/>
        <v>20341.5</v>
      </c>
      <c r="N22" s="131"/>
    </row>
    <row r="23" spans="1:15" s="126" customFormat="1" ht="12.5" x14ac:dyDescent="0.25"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3"/>
    </row>
    <row r="25" spans="1:15" x14ac:dyDescent="0.3">
      <c r="A25" s="135" t="s">
        <v>70</v>
      </c>
    </row>
    <row r="26" spans="1:15" x14ac:dyDescent="0.3">
      <c r="A26" s="23" t="s">
        <v>71</v>
      </c>
      <c r="D26" s="30">
        <v>-3200</v>
      </c>
      <c r="E26" s="30">
        <v>-3200</v>
      </c>
      <c r="F26" s="30">
        <v>-3200</v>
      </c>
      <c r="G26" s="30">
        <v>-3200</v>
      </c>
      <c r="H26" s="30">
        <v>-3200</v>
      </c>
      <c r="I26" s="30">
        <v>-3200</v>
      </c>
      <c r="J26" s="30">
        <v>-3200</v>
      </c>
      <c r="K26" s="30">
        <v>-3200</v>
      </c>
      <c r="L26" s="30">
        <v>-3200</v>
      </c>
      <c r="M26" s="30">
        <v>-3200</v>
      </c>
    </row>
    <row r="27" spans="1:15" x14ac:dyDescent="0.3">
      <c r="A27" s="23" t="s">
        <v>73</v>
      </c>
      <c r="D27" s="30">
        <v>-2161</v>
      </c>
      <c r="E27" s="30">
        <v>-2161</v>
      </c>
      <c r="F27" s="30">
        <v>-2161</v>
      </c>
      <c r="G27" s="30">
        <v>-2161</v>
      </c>
      <c r="H27" s="30">
        <v>-2161</v>
      </c>
      <c r="I27" s="30">
        <v>-2161</v>
      </c>
      <c r="J27" s="30">
        <v>-2161</v>
      </c>
      <c r="K27" s="30">
        <v>-2161</v>
      </c>
      <c r="L27" s="30">
        <v>-2161</v>
      </c>
      <c r="M27" s="30">
        <v>-2161</v>
      </c>
      <c r="O27" s="23" t="s">
        <v>72</v>
      </c>
    </row>
    <row r="28" spans="1:15" x14ac:dyDescent="0.3">
      <c r="A28" s="23" t="s">
        <v>74</v>
      </c>
      <c r="D28" s="30">
        <f>-SUMIF('M1 Staff costs'!$A:$A,'M1 Staff costs'!$A$5,'M1 Staff costs'!I:I)</f>
        <v>-6535.8810000000003</v>
      </c>
      <c r="E28" s="30">
        <f>-SUMIF('M1 Staff costs'!$A:$A,'M1 Staff costs'!$A$5,'M1 Staff costs'!J:J)</f>
        <v>-6595.2809999999999</v>
      </c>
      <c r="F28" s="30">
        <f>-SUMIF('M1 Staff costs'!$A:$A,'M1 Staff costs'!$A$5,'M1 Staff costs'!K:K)</f>
        <v>-5817.2363333333333</v>
      </c>
      <c r="G28" s="30">
        <f>-SUMIF('M1 Staff costs'!$A:$A,'M1 Staff costs'!$A$5,'M1 Staff costs'!L:L)</f>
        <v>-4925.6333333333332</v>
      </c>
      <c r="H28" s="30">
        <f>-SUMIF('M1 Staff costs'!$A:$A,'M1 Staff costs'!$A$5,'M1 Staff costs'!M:M)</f>
        <v>-4183.1333333333332</v>
      </c>
      <c r="I28" s="30">
        <f>-SUMIF('M1 Staff costs'!$A:$A,'M1 Staff costs'!$A$5,'M1 Staff costs'!N:N)</f>
        <v>-4183.1333333333332</v>
      </c>
      <c r="J28" s="30">
        <f>-SUMIF('M1 Staff costs'!$A:$A,'M1 Staff costs'!$A$5,'M1 Staff costs'!O:O)</f>
        <v>-4183.1333333333332</v>
      </c>
      <c r="K28" s="30">
        <f>-SUMIF('M1 Staff costs'!$A:$A,'M1 Staff costs'!$A$5,'M1 Staff costs'!P:P)</f>
        <v>-4183.1333333333332</v>
      </c>
      <c r="L28" s="30">
        <f>-SUMIF('M1 Staff costs'!$A:$A,'M1 Staff costs'!$A$5,'M1 Staff costs'!Q:Q)</f>
        <v>-4183.1333333333332</v>
      </c>
      <c r="M28" s="30">
        <f>-SUMIF('M1 Staff costs'!$A:$A,'M1 Staff costs'!$A$5,'M1 Staff costs'!R:R)</f>
        <v>-4183.1333333333332</v>
      </c>
    </row>
    <row r="29" spans="1:15" s="40" customFormat="1" ht="13.5" thickBot="1" x14ac:dyDescent="0.35">
      <c r="A29" s="40" t="s">
        <v>79</v>
      </c>
      <c r="B29" s="36"/>
      <c r="C29" s="36"/>
      <c r="D29" s="55">
        <f>SUM(D26:D28)</f>
        <v>-11896.881000000001</v>
      </c>
      <c r="E29" s="55">
        <f t="shared" ref="E29:M29" si="5">SUM(E26:E28)</f>
        <v>-11956.280999999999</v>
      </c>
      <c r="F29" s="55">
        <f t="shared" si="5"/>
        <v>-11178.236333333334</v>
      </c>
      <c r="G29" s="55">
        <f t="shared" si="5"/>
        <v>-10286.633333333333</v>
      </c>
      <c r="H29" s="55">
        <f t="shared" si="5"/>
        <v>-9544.1333333333332</v>
      </c>
      <c r="I29" s="55">
        <f t="shared" si="5"/>
        <v>-9544.1333333333332</v>
      </c>
      <c r="J29" s="55">
        <f t="shared" si="5"/>
        <v>-9544.1333333333332</v>
      </c>
      <c r="K29" s="55">
        <f t="shared" si="5"/>
        <v>-9544.1333333333332</v>
      </c>
      <c r="L29" s="55">
        <f t="shared" si="5"/>
        <v>-9544.1333333333332</v>
      </c>
      <c r="M29" s="55">
        <f t="shared" si="5"/>
        <v>-9544.1333333333332</v>
      </c>
      <c r="N29" s="136"/>
    </row>
    <row r="30" spans="1:15" s="137" customFormat="1" ht="13.5" thickTop="1" x14ac:dyDescent="0.3">
      <c r="B30" s="138"/>
      <c r="C30" s="138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40"/>
    </row>
    <row r="31" spans="1:15" s="137" customFormat="1" x14ac:dyDescent="0.3">
      <c r="B31" s="138"/>
      <c r="C31" s="138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40"/>
    </row>
    <row r="32" spans="1:15" x14ac:dyDescent="0.3"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spans="1:14" x14ac:dyDescent="0.3">
      <c r="A33" s="23" t="s">
        <v>76</v>
      </c>
      <c r="D33" s="30">
        <v>-4850</v>
      </c>
      <c r="E33" s="30">
        <v>-4850</v>
      </c>
      <c r="F33" s="30">
        <v>-4850</v>
      </c>
      <c r="G33" s="30">
        <v>-4850</v>
      </c>
      <c r="H33" s="30">
        <v>-4850</v>
      </c>
      <c r="I33" s="30">
        <v>-4850</v>
      </c>
      <c r="J33" s="30">
        <v>-4850</v>
      </c>
      <c r="K33" s="30">
        <v>-4850</v>
      </c>
      <c r="L33" s="30">
        <v>-4850</v>
      </c>
      <c r="M33" s="30">
        <v>-4850</v>
      </c>
    </row>
    <row r="34" spans="1:14" x14ac:dyDescent="0.3">
      <c r="A34" s="23" t="s">
        <v>77</v>
      </c>
      <c r="D34" s="30">
        <v>-2000</v>
      </c>
      <c r="E34" s="30">
        <v>-2000</v>
      </c>
      <c r="F34" s="30">
        <v>-2000</v>
      </c>
      <c r="G34" s="30">
        <v>-2000</v>
      </c>
      <c r="H34" s="30">
        <v>-2000</v>
      </c>
      <c r="I34" s="30">
        <v>-2000</v>
      </c>
      <c r="J34" s="30">
        <v>-2000</v>
      </c>
      <c r="K34" s="30">
        <v>-2000</v>
      </c>
      <c r="L34" s="30">
        <v>-2000</v>
      </c>
      <c r="M34" s="30">
        <v>-2000</v>
      </c>
    </row>
    <row r="35" spans="1:14" x14ac:dyDescent="0.3">
      <c r="A35" s="23" t="s">
        <v>78</v>
      </c>
      <c r="D35" s="30">
        <v>-2240</v>
      </c>
      <c r="E35" s="30">
        <v>-2240</v>
      </c>
      <c r="F35" s="30">
        <v>-2240</v>
      </c>
      <c r="G35" s="30">
        <v>-2240</v>
      </c>
      <c r="H35" s="30">
        <v>-2240</v>
      </c>
      <c r="I35" s="30">
        <v>-2240</v>
      </c>
      <c r="J35" s="30">
        <v>-2240</v>
      </c>
      <c r="K35" s="30">
        <v>-2240</v>
      </c>
      <c r="L35" s="30">
        <v>-2240</v>
      </c>
      <c r="M35" s="30">
        <v>-2240</v>
      </c>
    </row>
    <row r="36" spans="1:14" x14ac:dyDescent="0.3">
      <c r="A36" s="23" t="s">
        <v>80</v>
      </c>
      <c r="D36" s="30">
        <v>-1056</v>
      </c>
      <c r="E36" s="30">
        <v>-1056</v>
      </c>
      <c r="F36" s="30">
        <v>-1056</v>
      </c>
      <c r="G36" s="30">
        <v>-1056</v>
      </c>
      <c r="H36" s="30">
        <v>-1056</v>
      </c>
      <c r="I36" s="30">
        <v>-1056</v>
      </c>
      <c r="J36" s="30">
        <v>-1056</v>
      </c>
      <c r="K36" s="30">
        <v>-1056</v>
      </c>
      <c r="L36" s="30">
        <v>-1056</v>
      </c>
      <c r="M36" s="30">
        <v>-1056</v>
      </c>
    </row>
    <row r="37" spans="1:14" x14ac:dyDescent="0.3">
      <c r="A37" s="23" t="s">
        <v>81</v>
      </c>
      <c r="D37" s="30">
        <v>-300</v>
      </c>
      <c r="E37" s="30">
        <v>-300</v>
      </c>
      <c r="F37" s="30">
        <v>-300</v>
      </c>
      <c r="G37" s="30">
        <v>-300</v>
      </c>
      <c r="H37" s="30">
        <v>-300</v>
      </c>
      <c r="I37" s="30">
        <v>-300</v>
      </c>
      <c r="J37" s="30">
        <v>-300</v>
      </c>
      <c r="K37" s="30">
        <v>-300</v>
      </c>
      <c r="L37" s="30">
        <v>-300</v>
      </c>
      <c r="M37" s="30">
        <v>-300</v>
      </c>
    </row>
    <row r="38" spans="1:14" x14ac:dyDescent="0.3">
      <c r="A38" s="23" t="s">
        <v>82</v>
      </c>
      <c r="D38" s="30">
        <f>-SUMIF(OH!$A:$A,OH!$A$21,OH!E:E)</f>
        <v>-1047.5999999999999</v>
      </c>
      <c r="E38" s="30">
        <f>-SUMIF(OH!$A:$A,OH!$A$21,OH!F:F)</f>
        <v>-1047.5999999999999</v>
      </c>
      <c r="F38" s="30">
        <f>-SUMIF(OH!$A:$A,OH!$A$21,OH!G:G)</f>
        <v>-880.93333333333339</v>
      </c>
      <c r="G38" s="30">
        <f>-SUMIF(OH!$A:$A,OH!$A$21,OH!H:H)</f>
        <v>-880.93333333333339</v>
      </c>
      <c r="H38" s="30">
        <f>-SUMIF(OH!$A:$A,OH!$A$21,OH!I:I)</f>
        <v>-880.93333333333339</v>
      </c>
      <c r="I38" s="30">
        <f>-SUMIF(OH!$A:$A,OH!$A$21,OH!J:J)</f>
        <v>-880.93333333333339</v>
      </c>
      <c r="J38" s="30">
        <f>-SUMIF(OH!$A:$A,OH!$A$21,OH!K:K)</f>
        <v>-880.93333333333339</v>
      </c>
      <c r="K38" s="30">
        <f>-SUMIF(OH!$A:$A,OH!$A$21,OH!L:L)</f>
        <v>-880.93333333333339</v>
      </c>
      <c r="L38" s="30">
        <f>-SUMIF(OH!$A:$A,OH!$A$21,OH!M:M)</f>
        <v>-880.93333333333339</v>
      </c>
      <c r="M38" s="30">
        <f>-SUMIF(OH!$A:$A,OH!$A$21,OH!N:N)</f>
        <v>-880.93333333333339</v>
      </c>
    </row>
    <row r="39" spans="1:14" x14ac:dyDescent="0.3">
      <c r="D39" s="30">
        <f>SUM(D33:D38)</f>
        <v>-11493.6</v>
      </c>
      <c r="E39" s="30">
        <f t="shared" ref="E39:M39" si="6">SUM(E33:E38)</f>
        <v>-11493.6</v>
      </c>
      <c r="F39" s="30">
        <f t="shared" si="6"/>
        <v>-11326.933333333334</v>
      </c>
      <c r="G39" s="30">
        <f t="shared" si="6"/>
        <v>-11326.933333333334</v>
      </c>
      <c r="H39" s="30">
        <f t="shared" si="6"/>
        <v>-11326.933333333334</v>
      </c>
      <c r="I39" s="30">
        <f t="shared" si="6"/>
        <v>-11326.933333333334</v>
      </c>
      <c r="J39" s="30">
        <f t="shared" si="6"/>
        <v>-11326.933333333334</v>
      </c>
      <c r="K39" s="30">
        <f t="shared" si="6"/>
        <v>-11326.933333333334</v>
      </c>
      <c r="L39" s="30">
        <f t="shared" si="6"/>
        <v>-11326.933333333334</v>
      </c>
      <c r="M39" s="30">
        <f t="shared" si="6"/>
        <v>-11326.933333333334</v>
      </c>
    </row>
    <row r="40" spans="1:14" x14ac:dyDescent="0.3"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spans="1:14" x14ac:dyDescent="0.3">
      <c r="D41" s="30"/>
      <c r="E41" s="30"/>
      <c r="F41" s="30"/>
      <c r="G41" s="30"/>
      <c r="H41" s="30"/>
      <c r="I41" s="30"/>
      <c r="J41" s="30"/>
      <c r="K41" s="30"/>
      <c r="L41" s="30"/>
      <c r="M41" s="30"/>
    </row>
    <row r="42" spans="1:14" s="40" customFormat="1" ht="13.5" thickBot="1" x14ac:dyDescent="0.35">
      <c r="A42" s="40" t="s">
        <v>55</v>
      </c>
      <c r="B42" s="36"/>
      <c r="C42" s="36"/>
      <c r="D42" s="55">
        <f>D22+D29+D39</f>
        <v>-23390.481</v>
      </c>
      <c r="E42" s="55">
        <f>E22+E29+E39</f>
        <v>-3108.3809999999994</v>
      </c>
      <c r="F42" s="55">
        <f t="shared" ref="F42:M42" si="7">F22+F29+F39</f>
        <v>-2163.6696666666685</v>
      </c>
      <c r="G42" s="55">
        <f t="shared" si="7"/>
        <v>-1272.0666666666675</v>
      </c>
      <c r="H42" s="55">
        <f t="shared" si="7"/>
        <v>-529.56666666666752</v>
      </c>
      <c r="I42" s="55">
        <f t="shared" si="7"/>
        <v>-529.56666666666752</v>
      </c>
      <c r="J42" s="55">
        <f t="shared" si="7"/>
        <v>-529.56666666666752</v>
      </c>
      <c r="K42" s="55">
        <f t="shared" si="7"/>
        <v>-529.56666666666752</v>
      </c>
      <c r="L42" s="55">
        <f t="shared" si="7"/>
        <v>-529.56666666666752</v>
      </c>
      <c r="M42" s="55">
        <f t="shared" si="7"/>
        <v>-529.56666666666752</v>
      </c>
      <c r="N42" s="136"/>
    </row>
    <row r="43" spans="1:14" ht="13.5" thickTop="1" x14ac:dyDescent="0.3"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spans="1:14" x14ac:dyDescent="0.3"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spans="1:14" ht="13.5" thickBot="1" x14ac:dyDescent="0.35">
      <c r="D45" s="141" t="s">
        <v>41</v>
      </c>
      <c r="E45" s="142">
        <f>SUM(E42:M42)</f>
        <v>-9721.5173333333405</v>
      </c>
    </row>
    <row r="46" spans="1:14" ht="13.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38FE-0B8A-4BEB-8C5E-CA5219B32F5B}">
  <dimension ref="A1:O28"/>
  <sheetViews>
    <sheetView tabSelected="1" workbookViewId="0">
      <selection activeCell="E16" sqref="E16"/>
    </sheetView>
  </sheetViews>
  <sheetFormatPr defaultRowHeight="14.5" x14ac:dyDescent="0.35"/>
  <cols>
    <col min="1" max="1" width="25.36328125" customWidth="1"/>
    <col min="2" max="2" width="9" style="9" hidden="1" customWidth="1"/>
    <col min="3" max="3" width="9.90625" style="9" hidden="1" customWidth="1"/>
    <col min="4" max="13" width="9.90625" style="9" bestFit="1" customWidth="1"/>
    <col min="14" max="14" width="8.7265625" style="6"/>
  </cols>
  <sheetData>
    <row r="1" spans="1:15" x14ac:dyDescent="0.35">
      <c r="A1" s="1" t="s">
        <v>8</v>
      </c>
      <c r="B1" s="2" t="s">
        <v>0</v>
      </c>
      <c r="C1" s="2" t="s">
        <v>0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3"/>
    </row>
    <row r="2" spans="1:15" x14ac:dyDescent="0.35">
      <c r="A2" s="1"/>
      <c r="B2" s="4">
        <v>45931</v>
      </c>
      <c r="C2" s="4">
        <v>45962</v>
      </c>
      <c r="D2" s="4">
        <v>45992</v>
      </c>
      <c r="E2" s="4">
        <v>46023</v>
      </c>
      <c r="F2" s="4">
        <v>46054</v>
      </c>
      <c r="G2" s="4">
        <v>46082</v>
      </c>
      <c r="H2" s="4">
        <v>46113</v>
      </c>
      <c r="I2" s="4">
        <v>46143</v>
      </c>
      <c r="J2" s="4">
        <v>46174</v>
      </c>
      <c r="K2" s="4">
        <v>46204</v>
      </c>
      <c r="L2" s="4">
        <v>46235</v>
      </c>
      <c r="M2" s="4">
        <v>46266</v>
      </c>
      <c r="N2" s="5" t="s">
        <v>2</v>
      </c>
    </row>
    <row r="3" spans="1:15" s="15" customFormat="1" x14ac:dyDescent="0.35">
      <c r="A3" s="22" t="s">
        <v>11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9"/>
    </row>
    <row r="4" spans="1:15" x14ac:dyDescent="0.35">
      <c r="A4" s="11" t="s">
        <v>24</v>
      </c>
      <c r="B4" s="70"/>
      <c r="C4" s="70"/>
      <c r="D4" s="70"/>
      <c r="E4" s="70">
        <f>50000/2/12</f>
        <v>2083.3333333333335</v>
      </c>
      <c r="F4" s="70">
        <f t="shared" ref="F4:M4" si="0">50000/2/12</f>
        <v>2083.3333333333335</v>
      </c>
      <c r="G4" s="70">
        <f t="shared" si="0"/>
        <v>2083.3333333333335</v>
      </c>
      <c r="H4" s="70">
        <f t="shared" si="0"/>
        <v>2083.3333333333335</v>
      </c>
      <c r="I4" s="70">
        <f t="shared" si="0"/>
        <v>2083.3333333333335</v>
      </c>
      <c r="J4" s="70">
        <f t="shared" si="0"/>
        <v>2083.3333333333335</v>
      </c>
      <c r="K4" s="70">
        <f t="shared" si="0"/>
        <v>2083.3333333333335</v>
      </c>
      <c r="L4" s="70">
        <f t="shared" si="0"/>
        <v>2083.3333333333335</v>
      </c>
      <c r="M4" s="70">
        <f t="shared" si="0"/>
        <v>2083.3333333333335</v>
      </c>
      <c r="N4" s="71"/>
      <c r="O4" t="s">
        <v>49</v>
      </c>
    </row>
    <row r="5" spans="1:15" x14ac:dyDescent="0.35">
      <c r="A5" s="11" t="s">
        <v>48</v>
      </c>
      <c r="B5" s="70"/>
      <c r="C5" s="70"/>
      <c r="D5" s="70">
        <f t="shared" ref="D5:M5" si="1">80000/12</f>
        <v>6666.666666666667</v>
      </c>
      <c r="E5" s="70">
        <f t="shared" si="1"/>
        <v>6666.666666666667</v>
      </c>
      <c r="F5" s="70">
        <f t="shared" si="1"/>
        <v>6666.666666666667</v>
      </c>
      <c r="G5" s="70">
        <f t="shared" si="1"/>
        <v>6666.666666666667</v>
      </c>
      <c r="H5" s="70">
        <f t="shared" si="1"/>
        <v>6666.666666666667</v>
      </c>
      <c r="I5" s="70">
        <f t="shared" si="1"/>
        <v>6666.666666666667</v>
      </c>
      <c r="J5" s="70">
        <f t="shared" si="1"/>
        <v>6666.666666666667</v>
      </c>
      <c r="K5" s="70">
        <f t="shared" si="1"/>
        <v>6666.666666666667</v>
      </c>
      <c r="L5" s="70">
        <f t="shared" si="1"/>
        <v>6666.666666666667</v>
      </c>
      <c r="M5" s="70">
        <f t="shared" si="1"/>
        <v>6666.666666666667</v>
      </c>
      <c r="N5" s="71"/>
      <c r="O5" t="s">
        <v>52</v>
      </c>
    </row>
    <row r="6" spans="1:15" s="58" customFormat="1" ht="15" thickBot="1" x14ac:dyDescent="0.4">
      <c r="A6" s="20" t="s">
        <v>6</v>
      </c>
      <c r="B6" s="80">
        <f>SUM(B4:B5)</f>
        <v>0</v>
      </c>
      <c r="C6" s="80">
        <f t="shared" ref="C6:M6" si="2">SUM(C4:C5)</f>
        <v>0</v>
      </c>
      <c r="D6" s="80">
        <f t="shared" si="2"/>
        <v>6666.666666666667</v>
      </c>
      <c r="E6" s="80">
        <f t="shared" si="2"/>
        <v>8750</v>
      </c>
      <c r="F6" s="80">
        <f t="shared" si="2"/>
        <v>8750</v>
      </c>
      <c r="G6" s="80">
        <f t="shared" si="2"/>
        <v>8750</v>
      </c>
      <c r="H6" s="80">
        <f t="shared" si="2"/>
        <v>8750</v>
      </c>
      <c r="I6" s="80">
        <f t="shared" si="2"/>
        <v>8750</v>
      </c>
      <c r="J6" s="80">
        <f t="shared" si="2"/>
        <v>8750</v>
      </c>
      <c r="K6" s="80">
        <f t="shared" si="2"/>
        <v>8750</v>
      </c>
      <c r="L6" s="80">
        <f t="shared" si="2"/>
        <v>8750</v>
      </c>
      <c r="M6" s="80">
        <f t="shared" si="2"/>
        <v>8750</v>
      </c>
      <c r="N6" s="81"/>
    </row>
    <row r="7" spans="1:15" ht="15" thickTop="1" x14ac:dyDescent="0.35">
      <c r="A7" s="11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1"/>
    </row>
    <row r="8" spans="1:15" x14ac:dyDescent="0.35">
      <c r="A8" s="13"/>
      <c r="B8" s="70"/>
      <c r="C8" s="70"/>
      <c r="D8" s="82"/>
      <c r="E8" s="70"/>
      <c r="F8" s="70"/>
      <c r="G8" s="70"/>
      <c r="H8" s="70"/>
      <c r="I8" s="70"/>
      <c r="J8" s="70"/>
      <c r="K8" s="70"/>
      <c r="L8" s="70"/>
      <c r="M8" s="70"/>
      <c r="N8" s="71"/>
    </row>
    <row r="9" spans="1:15" s="15" customFormat="1" x14ac:dyDescent="0.35">
      <c r="A9" s="22" t="s">
        <v>13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7"/>
    </row>
    <row r="10" spans="1:15" x14ac:dyDescent="0.35">
      <c r="A10" s="11" t="s">
        <v>10</v>
      </c>
      <c r="B10" s="70">
        <v>188</v>
      </c>
      <c r="C10" s="70">
        <v>18900</v>
      </c>
      <c r="D10" s="70">
        <v>18900</v>
      </c>
      <c r="E10" s="70">
        <v>3000</v>
      </c>
      <c r="F10" s="70">
        <v>3000</v>
      </c>
      <c r="G10" s="70">
        <v>3000</v>
      </c>
      <c r="H10" s="70">
        <v>3000</v>
      </c>
      <c r="I10" s="70">
        <v>3000</v>
      </c>
      <c r="J10" s="70">
        <v>3000</v>
      </c>
      <c r="K10" s="70">
        <v>3000</v>
      </c>
      <c r="L10" s="70">
        <v>3000</v>
      </c>
      <c r="M10" s="70">
        <v>3000</v>
      </c>
      <c r="N10" s="71"/>
      <c r="O10" t="s">
        <v>51</v>
      </c>
    </row>
    <row r="11" spans="1:15" x14ac:dyDescent="0.35">
      <c r="A11" s="11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1"/>
    </row>
    <row r="12" spans="1:15" s="58" customFormat="1" ht="15" thickBot="1" x14ac:dyDescent="0.4">
      <c r="A12" s="20" t="s">
        <v>6</v>
      </c>
      <c r="B12" s="80">
        <f>SUM(B10:B11)</f>
        <v>188</v>
      </c>
      <c r="C12" s="80">
        <f t="shared" ref="C12" si="3">SUM(C10:C11)</f>
        <v>18900</v>
      </c>
      <c r="D12" s="80">
        <f t="shared" ref="D12" si="4">SUM(D10:D11)</f>
        <v>18900</v>
      </c>
      <c r="E12" s="80">
        <f t="shared" ref="E12" si="5">SUM(E10:E11)</f>
        <v>3000</v>
      </c>
      <c r="F12" s="80">
        <f t="shared" ref="F12" si="6">SUM(F10:F11)</f>
        <v>3000</v>
      </c>
      <c r="G12" s="80">
        <f t="shared" ref="G12" si="7">SUM(G10:G11)</f>
        <v>3000</v>
      </c>
      <c r="H12" s="80">
        <f t="shared" ref="H12" si="8">SUM(H10:H11)</f>
        <v>3000</v>
      </c>
      <c r="I12" s="80">
        <f t="shared" ref="I12" si="9">SUM(I10:I11)</f>
        <v>3000</v>
      </c>
      <c r="J12" s="80">
        <f t="shared" ref="J12" si="10">SUM(J10:J11)</f>
        <v>3000</v>
      </c>
      <c r="K12" s="80">
        <f t="shared" ref="K12" si="11">SUM(K10:K11)</f>
        <v>3000</v>
      </c>
      <c r="L12" s="80">
        <f t="shared" ref="L12" si="12">SUM(L10:L11)</f>
        <v>3000</v>
      </c>
      <c r="M12" s="80">
        <f t="shared" ref="M12" si="13">SUM(M10:M11)</f>
        <v>3000</v>
      </c>
      <c r="N12" s="81"/>
    </row>
    <row r="13" spans="1:15" ht="15" thickTop="1" x14ac:dyDescent="0.35">
      <c r="A13" s="11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1"/>
    </row>
    <row r="14" spans="1:15" x14ac:dyDescent="0.35">
      <c r="A14" s="13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1"/>
    </row>
    <row r="15" spans="1:15" s="15" customFormat="1" x14ac:dyDescent="0.35">
      <c r="A15" s="22" t="s">
        <v>14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5"/>
    </row>
    <row r="16" spans="1:15" x14ac:dyDescent="0.35">
      <c r="A16" s="11" t="s">
        <v>24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1"/>
    </row>
    <row r="17" spans="1:15" x14ac:dyDescent="0.35">
      <c r="A17" s="11" t="s">
        <v>48</v>
      </c>
      <c r="B17" s="70"/>
      <c r="C17" s="70"/>
      <c r="D17" s="70">
        <v>1000</v>
      </c>
      <c r="E17" s="70">
        <v>1000</v>
      </c>
      <c r="F17" s="70">
        <v>1000</v>
      </c>
      <c r="G17" s="70">
        <v>1000</v>
      </c>
      <c r="H17" s="70">
        <v>1000</v>
      </c>
      <c r="I17" s="70">
        <v>1000</v>
      </c>
      <c r="J17" s="70">
        <v>1000</v>
      </c>
      <c r="K17" s="70">
        <v>1000</v>
      </c>
      <c r="L17" s="70">
        <v>1000</v>
      </c>
      <c r="M17" s="70">
        <v>1000</v>
      </c>
      <c r="N17" s="71"/>
      <c r="O17" t="s">
        <v>50</v>
      </c>
    </row>
    <row r="18" spans="1:15" s="58" customFormat="1" ht="15" thickBot="1" x14ac:dyDescent="0.4">
      <c r="A18" s="20" t="s">
        <v>6</v>
      </c>
      <c r="B18" s="80">
        <f>SUM(B16:B17)</f>
        <v>0</v>
      </c>
      <c r="C18" s="80">
        <f t="shared" ref="C18:D18" si="14">SUM(C16:C17)</f>
        <v>0</v>
      </c>
      <c r="D18" s="80">
        <f t="shared" si="14"/>
        <v>1000</v>
      </c>
      <c r="E18" s="80">
        <f t="shared" ref="E18" si="15">SUM(E16:E17)</f>
        <v>1000</v>
      </c>
      <c r="F18" s="80">
        <f t="shared" ref="F18" si="16">SUM(F16:F17)</f>
        <v>1000</v>
      </c>
      <c r="G18" s="80">
        <f t="shared" ref="G18" si="17">SUM(G16:G17)</f>
        <v>1000</v>
      </c>
      <c r="H18" s="80">
        <f t="shared" ref="H18" si="18">SUM(H16:H17)</f>
        <v>1000</v>
      </c>
      <c r="I18" s="80">
        <f t="shared" ref="I18" si="19">SUM(I16:I17)</f>
        <v>1000</v>
      </c>
      <c r="J18" s="80">
        <f t="shared" ref="J18" si="20">SUM(J16:J17)</f>
        <v>1000</v>
      </c>
      <c r="K18" s="80">
        <f t="shared" ref="K18" si="21">SUM(K16:K17)</f>
        <v>1000</v>
      </c>
      <c r="L18" s="80">
        <f t="shared" ref="L18" si="22">SUM(L16:L17)</f>
        <v>1000</v>
      </c>
      <c r="M18" s="80">
        <f t="shared" ref="M18" si="23">SUM(M16:M17)</f>
        <v>1000</v>
      </c>
      <c r="N18" s="81"/>
    </row>
    <row r="19" spans="1:15" ht="15" thickTop="1" x14ac:dyDescent="0.35">
      <c r="A19" s="11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1"/>
    </row>
    <row r="20" spans="1:15" x14ac:dyDescent="0.35">
      <c r="A20" s="13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1"/>
    </row>
    <row r="21" spans="1:15" s="15" customFormat="1" x14ac:dyDescent="0.35">
      <c r="A21" s="22" t="s">
        <v>17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5"/>
    </row>
    <row r="22" spans="1:15" x14ac:dyDescent="0.35">
      <c r="A22" s="11" t="s">
        <v>24</v>
      </c>
      <c r="B22" s="70"/>
      <c r="C22" s="70"/>
      <c r="D22" s="70"/>
      <c r="E22" s="70">
        <f>50000/2/12</f>
        <v>2083.3333333333335</v>
      </c>
      <c r="F22" s="70">
        <f t="shared" ref="F22:M22" si="24">50000/2/12</f>
        <v>2083.3333333333335</v>
      </c>
      <c r="G22" s="70">
        <f t="shared" si="24"/>
        <v>2083.3333333333335</v>
      </c>
      <c r="H22" s="70">
        <f t="shared" si="24"/>
        <v>2083.3333333333335</v>
      </c>
      <c r="I22" s="70">
        <f t="shared" si="24"/>
        <v>2083.3333333333335</v>
      </c>
      <c r="J22" s="70">
        <f t="shared" si="24"/>
        <v>2083.3333333333335</v>
      </c>
      <c r="K22" s="70">
        <f t="shared" si="24"/>
        <v>2083.3333333333335</v>
      </c>
      <c r="L22" s="70">
        <f t="shared" si="24"/>
        <v>2083.3333333333335</v>
      </c>
      <c r="M22" s="70">
        <f t="shared" si="24"/>
        <v>2083.3333333333335</v>
      </c>
      <c r="N22" s="71"/>
      <c r="O22" t="s">
        <v>49</v>
      </c>
    </row>
    <row r="23" spans="1:15" x14ac:dyDescent="0.35">
      <c r="A23" s="11" t="s">
        <v>48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1"/>
    </row>
    <row r="24" spans="1:15" s="58" customFormat="1" ht="15" thickBot="1" x14ac:dyDescent="0.4">
      <c r="A24" s="20" t="s">
        <v>6</v>
      </c>
      <c r="B24" s="80">
        <f>SUM(B22:B23)</f>
        <v>0</v>
      </c>
      <c r="C24" s="80">
        <f t="shared" ref="C24" si="25">SUM(C22:C23)</f>
        <v>0</v>
      </c>
      <c r="D24" s="80">
        <f t="shared" ref="D24" si="26">SUM(D22:D23)</f>
        <v>0</v>
      </c>
      <c r="E24" s="80">
        <f t="shared" ref="E24" si="27">SUM(E22:E23)</f>
        <v>2083.3333333333335</v>
      </c>
      <c r="F24" s="80">
        <f t="shared" ref="F24" si="28">SUM(F22:F23)</f>
        <v>2083.3333333333335</v>
      </c>
      <c r="G24" s="80">
        <f t="shared" ref="G24" si="29">SUM(G22:G23)</f>
        <v>2083.3333333333335</v>
      </c>
      <c r="H24" s="80">
        <f t="shared" ref="H24" si="30">SUM(H22:H23)</f>
        <v>2083.3333333333335</v>
      </c>
      <c r="I24" s="80">
        <f t="shared" ref="I24" si="31">SUM(I22:I23)</f>
        <v>2083.3333333333335</v>
      </c>
      <c r="J24" s="80">
        <f t="shared" ref="J24" si="32">SUM(J22:J23)</f>
        <v>2083.3333333333335</v>
      </c>
      <c r="K24" s="80">
        <f t="shared" ref="K24" si="33">SUM(K22:K23)</f>
        <v>2083.3333333333335</v>
      </c>
      <c r="L24" s="80">
        <f t="shared" ref="L24" si="34">SUM(L22:L23)</f>
        <v>2083.3333333333335</v>
      </c>
      <c r="M24" s="80">
        <f t="shared" ref="M24" si="35">SUM(M22:M23)</f>
        <v>2083.3333333333335</v>
      </c>
      <c r="N24" s="81"/>
    </row>
    <row r="25" spans="1:15" ht="15" thickTop="1" x14ac:dyDescent="0.35">
      <c r="A25" s="11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1"/>
    </row>
    <row r="26" spans="1:15" s="13" customFormat="1" ht="11.5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9"/>
    </row>
    <row r="27" spans="1:15" s="15" customFormat="1" x14ac:dyDescent="0.35">
      <c r="A27" s="84" t="s">
        <v>6</v>
      </c>
      <c r="B27" s="74">
        <f>B6+B12+B18+B24</f>
        <v>188</v>
      </c>
      <c r="C27" s="74">
        <f t="shared" ref="C27:M27" si="36">C6+C12+C18+C24</f>
        <v>18900</v>
      </c>
      <c r="D27" s="83">
        <f t="shared" si="36"/>
        <v>26566.666666666668</v>
      </c>
      <c r="E27" s="83">
        <f t="shared" si="36"/>
        <v>14833.333333333334</v>
      </c>
      <c r="F27" s="83">
        <f t="shared" si="36"/>
        <v>14833.333333333334</v>
      </c>
      <c r="G27" s="83">
        <f t="shared" si="36"/>
        <v>14833.333333333334</v>
      </c>
      <c r="H27" s="83">
        <f t="shared" si="36"/>
        <v>14833.333333333334</v>
      </c>
      <c r="I27" s="83">
        <f t="shared" si="36"/>
        <v>14833.333333333334</v>
      </c>
      <c r="J27" s="83">
        <f t="shared" si="36"/>
        <v>14833.333333333334</v>
      </c>
      <c r="K27" s="83">
        <f t="shared" si="36"/>
        <v>14833.333333333334</v>
      </c>
      <c r="L27" s="83">
        <f t="shared" si="36"/>
        <v>14833.333333333334</v>
      </c>
      <c r="M27" s="83">
        <f t="shared" si="36"/>
        <v>14833.333333333334</v>
      </c>
      <c r="N27" s="75"/>
    </row>
    <row r="28" spans="1:15" s="13" customFormat="1" ht="11.5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67B7-7682-40CA-A8FE-8E585C5844AF}">
  <dimension ref="A1:S104"/>
  <sheetViews>
    <sheetView workbookViewId="0">
      <selection activeCell="E5" sqref="E5"/>
    </sheetView>
  </sheetViews>
  <sheetFormatPr defaultRowHeight="14.5" x14ac:dyDescent="0.35"/>
  <cols>
    <col min="1" max="1" width="18.26953125" customWidth="1"/>
    <col min="2" max="2" width="18.26953125" style="25" customWidth="1"/>
    <col min="3" max="3" width="11" customWidth="1"/>
    <col min="4" max="4" width="10.81640625" customWidth="1"/>
    <col min="5" max="5" width="11" customWidth="1"/>
    <col min="6" max="6" width="10.81640625" customWidth="1"/>
    <col min="7" max="8" width="9" hidden="1" customWidth="1"/>
    <col min="9" max="11" width="9" bestFit="1" customWidth="1"/>
    <col min="12" max="12" width="9.90625" bestFit="1" customWidth="1"/>
    <col min="13" max="18" width="9" bestFit="1" customWidth="1"/>
    <col min="19" max="19" width="9" style="35" bestFit="1" customWidth="1"/>
  </cols>
  <sheetData>
    <row r="1" spans="1:19" x14ac:dyDescent="0.35">
      <c r="A1" s="2"/>
      <c r="B1" s="24"/>
      <c r="C1" s="143" t="s">
        <v>23</v>
      </c>
      <c r="D1" s="144"/>
      <c r="E1" s="143" t="s">
        <v>26</v>
      </c>
      <c r="F1" s="144"/>
      <c r="G1" s="2" t="s">
        <v>0</v>
      </c>
      <c r="H1" s="2" t="s">
        <v>0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3"/>
    </row>
    <row r="2" spans="1:19" x14ac:dyDescent="0.35">
      <c r="A2" s="4" t="s">
        <v>15</v>
      </c>
      <c r="B2" s="24" t="s">
        <v>20</v>
      </c>
      <c r="C2" s="4" t="s">
        <v>21</v>
      </c>
      <c r="D2" s="4" t="s">
        <v>22</v>
      </c>
      <c r="E2" s="4" t="s">
        <v>27</v>
      </c>
      <c r="F2" s="4" t="s">
        <v>22</v>
      </c>
      <c r="G2" s="4">
        <v>45931</v>
      </c>
      <c r="H2" s="4">
        <v>45962</v>
      </c>
      <c r="I2" s="4">
        <v>45992</v>
      </c>
      <c r="J2" s="4">
        <v>46023</v>
      </c>
      <c r="K2" s="4">
        <v>46054</v>
      </c>
      <c r="L2" s="4">
        <v>46082</v>
      </c>
      <c r="M2" s="4">
        <v>46113</v>
      </c>
      <c r="N2" s="4">
        <v>46143</v>
      </c>
      <c r="O2" s="4">
        <v>46174</v>
      </c>
      <c r="P2" s="4">
        <v>46204</v>
      </c>
      <c r="Q2" s="4">
        <v>46235</v>
      </c>
      <c r="R2" s="4">
        <v>46266</v>
      </c>
      <c r="S2" s="5" t="s">
        <v>2</v>
      </c>
    </row>
    <row r="3" spans="1:19" s="23" customFormat="1" ht="13" x14ac:dyDescent="0.3">
      <c r="A3" s="29" t="s">
        <v>16</v>
      </c>
      <c r="B3" s="31"/>
      <c r="C3" s="30">
        <v>38000</v>
      </c>
      <c r="D3" s="30">
        <f>C3*0.188</f>
        <v>7144</v>
      </c>
      <c r="E3" s="30">
        <v>2000</v>
      </c>
      <c r="F3" s="30">
        <f>E3*0.188</f>
        <v>376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32"/>
    </row>
    <row r="4" spans="1:19" s="23" customFormat="1" ht="13" x14ac:dyDescent="0.3">
      <c r="A4" s="28" t="s">
        <v>11</v>
      </c>
      <c r="B4" s="41">
        <v>0.25</v>
      </c>
      <c r="C4" s="28"/>
      <c r="D4" s="28"/>
      <c r="E4" s="28"/>
      <c r="F4" s="28"/>
      <c r="G4" s="30">
        <f>SUM($C$3:$D$3)/12*$B4</f>
        <v>940.5</v>
      </c>
      <c r="H4" s="30">
        <f t="shared" ref="H4:R4" si="0">SUM($C$3:$D$3)/12*$B4</f>
        <v>940.5</v>
      </c>
      <c r="I4" s="30">
        <f t="shared" si="0"/>
        <v>940.5</v>
      </c>
      <c r="J4" s="30">
        <f>SUM($C$3:$D$3)/12*$B4+SUM($E$3:$F$3)*$B4</f>
        <v>1534.5</v>
      </c>
      <c r="K4" s="30">
        <f t="shared" si="0"/>
        <v>940.5</v>
      </c>
      <c r="L4" s="30">
        <f t="shared" si="0"/>
        <v>940.5</v>
      </c>
      <c r="M4" s="30">
        <f t="shared" si="0"/>
        <v>940.5</v>
      </c>
      <c r="N4" s="30">
        <f t="shared" si="0"/>
        <v>940.5</v>
      </c>
      <c r="O4" s="30">
        <f t="shared" si="0"/>
        <v>940.5</v>
      </c>
      <c r="P4" s="30">
        <f t="shared" si="0"/>
        <v>940.5</v>
      </c>
      <c r="Q4" s="30">
        <f t="shared" si="0"/>
        <v>940.5</v>
      </c>
      <c r="R4" s="30">
        <f t="shared" si="0"/>
        <v>940.5</v>
      </c>
      <c r="S4" s="33">
        <f t="shared" ref="S4:S10" si="1">SUM(G4:R4)</f>
        <v>11880</v>
      </c>
    </row>
    <row r="5" spans="1:19" s="23" customFormat="1" ht="13" x14ac:dyDescent="0.3">
      <c r="A5" s="28" t="s">
        <v>12</v>
      </c>
      <c r="B5" s="41">
        <v>2.5000000000000001E-2</v>
      </c>
      <c r="C5" s="28"/>
      <c r="D5" s="28"/>
      <c r="E5" s="28"/>
      <c r="F5" s="28"/>
      <c r="G5" s="30">
        <f t="shared" ref="G5:R10" si="2">SUM($C$3:$D$3)/12*$B5</f>
        <v>94.050000000000011</v>
      </c>
      <c r="H5" s="30">
        <f t="shared" si="2"/>
        <v>94.050000000000011</v>
      </c>
      <c r="I5" s="30">
        <f t="shared" si="2"/>
        <v>94.050000000000011</v>
      </c>
      <c r="J5" s="30">
        <f t="shared" ref="J5:J10" si="3">SUM($C$3:$D$3)/12*$B5+SUM($E$3:$F$3)*$B5</f>
        <v>153.45000000000002</v>
      </c>
      <c r="K5" s="30">
        <f t="shared" si="2"/>
        <v>94.050000000000011</v>
      </c>
      <c r="L5" s="30">
        <f t="shared" si="2"/>
        <v>94.050000000000011</v>
      </c>
      <c r="M5" s="30">
        <f t="shared" si="2"/>
        <v>94.050000000000011</v>
      </c>
      <c r="N5" s="30">
        <f t="shared" si="2"/>
        <v>94.050000000000011</v>
      </c>
      <c r="O5" s="30">
        <f t="shared" si="2"/>
        <v>94.050000000000011</v>
      </c>
      <c r="P5" s="30">
        <f t="shared" si="2"/>
        <v>94.050000000000011</v>
      </c>
      <c r="Q5" s="30">
        <f t="shared" si="2"/>
        <v>94.050000000000011</v>
      </c>
      <c r="R5" s="30">
        <f t="shared" si="2"/>
        <v>94.050000000000011</v>
      </c>
      <c r="S5" s="33">
        <f t="shared" si="1"/>
        <v>1187.9999999999998</v>
      </c>
    </row>
    <row r="6" spans="1:19" s="23" customFormat="1" ht="13" x14ac:dyDescent="0.3">
      <c r="A6" s="28" t="s">
        <v>14</v>
      </c>
      <c r="B6" s="41">
        <v>0.25</v>
      </c>
      <c r="C6" s="28"/>
      <c r="D6" s="28"/>
      <c r="E6" s="28"/>
      <c r="F6" s="28"/>
      <c r="G6" s="30">
        <f t="shared" si="2"/>
        <v>940.5</v>
      </c>
      <c r="H6" s="30">
        <f t="shared" si="2"/>
        <v>940.5</v>
      </c>
      <c r="I6" s="30">
        <f t="shared" si="2"/>
        <v>940.5</v>
      </c>
      <c r="J6" s="30">
        <f t="shared" si="3"/>
        <v>1534.5</v>
      </c>
      <c r="K6" s="30">
        <f t="shared" si="2"/>
        <v>940.5</v>
      </c>
      <c r="L6" s="30">
        <f t="shared" si="2"/>
        <v>940.5</v>
      </c>
      <c r="M6" s="30">
        <f t="shared" si="2"/>
        <v>940.5</v>
      </c>
      <c r="N6" s="30">
        <f t="shared" si="2"/>
        <v>940.5</v>
      </c>
      <c r="O6" s="30">
        <f t="shared" si="2"/>
        <v>940.5</v>
      </c>
      <c r="P6" s="30">
        <f t="shared" si="2"/>
        <v>940.5</v>
      </c>
      <c r="Q6" s="30">
        <f t="shared" si="2"/>
        <v>940.5</v>
      </c>
      <c r="R6" s="30">
        <f t="shared" si="2"/>
        <v>940.5</v>
      </c>
      <c r="S6" s="33">
        <f t="shared" si="1"/>
        <v>11880</v>
      </c>
    </row>
    <row r="7" spans="1:19" s="23" customFormat="1" ht="13" x14ac:dyDescent="0.3">
      <c r="A7" s="28" t="s">
        <v>17</v>
      </c>
      <c r="B7" s="41">
        <v>0.25</v>
      </c>
      <c r="C7" s="28"/>
      <c r="D7" s="28"/>
      <c r="E7" s="28"/>
      <c r="F7" s="28"/>
      <c r="G7" s="30">
        <f t="shared" si="2"/>
        <v>940.5</v>
      </c>
      <c r="H7" s="30">
        <f t="shared" si="2"/>
        <v>940.5</v>
      </c>
      <c r="I7" s="30">
        <f t="shared" si="2"/>
        <v>940.5</v>
      </c>
      <c r="J7" s="30">
        <f t="shared" si="3"/>
        <v>1534.5</v>
      </c>
      <c r="K7" s="30">
        <f t="shared" si="2"/>
        <v>940.5</v>
      </c>
      <c r="L7" s="30">
        <f t="shared" si="2"/>
        <v>940.5</v>
      </c>
      <c r="M7" s="30">
        <f t="shared" si="2"/>
        <v>940.5</v>
      </c>
      <c r="N7" s="30">
        <f t="shared" si="2"/>
        <v>940.5</v>
      </c>
      <c r="O7" s="30">
        <f t="shared" si="2"/>
        <v>940.5</v>
      </c>
      <c r="P7" s="30">
        <f t="shared" si="2"/>
        <v>940.5</v>
      </c>
      <c r="Q7" s="30">
        <f t="shared" si="2"/>
        <v>940.5</v>
      </c>
      <c r="R7" s="30">
        <f t="shared" si="2"/>
        <v>940.5</v>
      </c>
      <c r="S7" s="33">
        <f t="shared" si="1"/>
        <v>11880</v>
      </c>
    </row>
    <row r="8" spans="1:19" s="23" customFormat="1" ht="13" x14ac:dyDescent="0.3">
      <c r="A8" s="28" t="s">
        <v>18</v>
      </c>
      <c r="B8" s="41">
        <v>0.05</v>
      </c>
      <c r="C8" s="28"/>
      <c r="D8" s="28"/>
      <c r="E8" s="28"/>
      <c r="F8" s="28"/>
      <c r="G8" s="30">
        <f t="shared" si="2"/>
        <v>188.10000000000002</v>
      </c>
      <c r="H8" s="30">
        <f t="shared" si="2"/>
        <v>188.10000000000002</v>
      </c>
      <c r="I8" s="30">
        <f t="shared" si="2"/>
        <v>188.10000000000002</v>
      </c>
      <c r="J8" s="30">
        <f t="shared" si="3"/>
        <v>306.90000000000003</v>
      </c>
      <c r="K8" s="30">
        <f t="shared" si="2"/>
        <v>188.10000000000002</v>
      </c>
      <c r="L8" s="30">
        <f t="shared" si="2"/>
        <v>188.10000000000002</v>
      </c>
      <c r="M8" s="30">
        <f t="shared" si="2"/>
        <v>188.10000000000002</v>
      </c>
      <c r="N8" s="30">
        <f t="shared" si="2"/>
        <v>188.10000000000002</v>
      </c>
      <c r="O8" s="30">
        <f t="shared" si="2"/>
        <v>188.10000000000002</v>
      </c>
      <c r="P8" s="30">
        <f t="shared" si="2"/>
        <v>188.10000000000002</v>
      </c>
      <c r="Q8" s="30">
        <f t="shared" si="2"/>
        <v>188.10000000000002</v>
      </c>
      <c r="R8" s="30">
        <f t="shared" si="2"/>
        <v>188.10000000000002</v>
      </c>
      <c r="S8" s="33">
        <f t="shared" si="1"/>
        <v>2375.9999999999995</v>
      </c>
    </row>
    <row r="9" spans="1:19" s="23" customFormat="1" ht="13" x14ac:dyDescent="0.3">
      <c r="A9" s="28" t="s">
        <v>19</v>
      </c>
      <c r="B9" s="41">
        <v>0.1</v>
      </c>
      <c r="C9" s="28"/>
      <c r="D9" s="28"/>
      <c r="E9" s="28"/>
      <c r="F9" s="28"/>
      <c r="G9" s="30">
        <f t="shared" si="2"/>
        <v>376.20000000000005</v>
      </c>
      <c r="H9" s="30">
        <f t="shared" si="2"/>
        <v>376.20000000000005</v>
      </c>
      <c r="I9" s="30">
        <f t="shared" si="2"/>
        <v>376.20000000000005</v>
      </c>
      <c r="J9" s="30">
        <f t="shared" si="3"/>
        <v>613.80000000000007</v>
      </c>
      <c r="K9" s="30">
        <f t="shared" si="2"/>
        <v>376.20000000000005</v>
      </c>
      <c r="L9" s="30">
        <f t="shared" si="2"/>
        <v>376.20000000000005</v>
      </c>
      <c r="M9" s="30">
        <f t="shared" si="2"/>
        <v>376.20000000000005</v>
      </c>
      <c r="N9" s="30">
        <f t="shared" si="2"/>
        <v>376.20000000000005</v>
      </c>
      <c r="O9" s="30">
        <f t="shared" si="2"/>
        <v>376.20000000000005</v>
      </c>
      <c r="P9" s="30">
        <f t="shared" si="2"/>
        <v>376.20000000000005</v>
      </c>
      <c r="Q9" s="30">
        <f t="shared" si="2"/>
        <v>376.20000000000005</v>
      </c>
      <c r="R9" s="30">
        <f t="shared" si="2"/>
        <v>376.20000000000005</v>
      </c>
      <c r="S9" s="33">
        <f t="shared" si="1"/>
        <v>4751.9999999999991</v>
      </c>
    </row>
    <row r="10" spans="1:19" s="23" customFormat="1" ht="13" x14ac:dyDescent="0.3">
      <c r="A10" s="28" t="s">
        <v>24</v>
      </c>
      <c r="B10" s="41">
        <v>7.4999999999999997E-2</v>
      </c>
      <c r="C10" s="28"/>
      <c r="D10" s="28"/>
      <c r="E10" s="28"/>
      <c r="F10" s="28"/>
      <c r="G10" s="30">
        <f t="shared" si="2"/>
        <v>282.14999999999998</v>
      </c>
      <c r="H10" s="30">
        <f t="shared" si="2"/>
        <v>282.14999999999998</v>
      </c>
      <c r="I10" s="30">
        <f t="shared" si="2"/>
        <v>282.14999999999998</v>
      </c>
      <c r="J10" s="30">
        <f t="shared" si="3"/>
        <v>460.34999999999997</v>
      </c>
      <c r="K10" s="30">
        <f t="shared" si="2"/>
        <v>282.14999999999998</v>
      </c>
      <c r="L10" s="30">
        <f t="shared" si="2"/>
        <v>282.14999999999998</v>
      </c>
      <c r="M10" s="30">
        <f t="shared" si="2"/>
        <v>282.14999999999998</v>
      </c>
      <c r="N10" s="30">
        <f t="shared" si="2"/>
        <v>282.14999999999998</v>
      </c>
      <c r="O10" s="30">
        <f t="shared" si="2"/>
        <v>282.14999999999998</v>
      </c>
      <c r="P10" s="30">
        <f t="shared" si="2"/>
        <v>282.14999999999998</v>
      </c>
      <c r="Q10" s="30">
        <f t="shared" si="2"/>
        <v>282.14999999999998</v>
      </c>
      <c r="R10" s="30">
        <f t="shared" si="2"/>
        <v>282.14999999999998</v>
      </c>
      <c r="S10" s="33">
        <f t="shared" si="1"/>
        <v>3564.0000000000005</v>
      </c>
    </row>
    <row r="11" spans="1:19" s="23" customFormat="1" ht="13" x14ac:dyDescent="0.3">
      <c r="A11" s="28"/>
      <c r="B11" s="31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32"/>
    </row>
    <row r="12" spans="1:19" s="40" customFormat="1" ht="13.5" thickBot="1" x14ac:dyDescent="0.35">
      <c r="A12" s="36" t="s">
        <v>6</v>
      </c>
      <c r="B12" s="37"/>
      <c r="C12" s="36"/>
      <c r="D12" s="36"/>
      <c r="E12" s="36"/>
      <c r="F12" s="36"/>
      <c r="G12" s="38">
        <f>SUM(G4:G11)</f>
        <v>3762.0000000000005</v>
      </c>
      <c r="H12" s="38">
        <f t="shared" ref="H12:S12" si="4">SUM(H4:H11)</f>
        <v>3762.0000000000005</v>
      </c>
      <c r="I12" s="38">
        <f t="shared" si="4"/>
        <v>3762.0000000000005</v>
      </c>
      <c r="J12" s="38">
        <f t="shared" si="4"/>
        <v>6138</v>
      </c>
      <c r="K12" s="38">
        <f t="shared" si="4"/>
        <v>3762.0000000000005</v>
      </c>
      <c r="L12" s="38">
        <f t="shared" si="4"/>
        <v>3762.0000000000005</v>
      </c>
      <c r="M12" s="38">
        <f t="shared" si="4"/>
        <v>3762.0000000000005</v>
      </c>
      <c r="N12" s="38">
        <f t="shared" si="4"/>
        <v>3762.0000000000005</v>
      </c>
      <c r="O12" s="38">
        <f t="shared" si="4"/>
        <v>3762.0000000000005</v>
      </c>
      <c r="P12" s="38">
        <f t="shared" si="4"/>
        <v>3762.0000000000005</v>
      </c>
      <c r="Q12" s="38">
        <f t="shared" si="4"/>
        <v>3762.0000000000005</v>
      </c>
      <c r="R12" s="38">
        <f t="shared" si="4"/>
        <v>3762.0000000000005</v>
      </c>
      <c r="S12" s="39">
        <f t="shared" si="4"/>
        <v>47520</v>
      </c>
    </row>
    <row r="13" spans="1:19" s="23" customFormat="1" ht="13.5" thickTop="1" x14ac:dyDescent="0.3">
      <c r="A13" s="28"/>
      <c r="B13" s="31"/>
      <c r="C13" s="28"/>
      <c r="D13" s="28"/>
      <c r="E13" s="28"/>
      <c r="F13" s="28"/>
      <c r="G13" s="28"/>
      <c r="H13" s="28"/>
      <c r="I13" s="28"/>
      <c r="J13" s="42"/>
      <c r="K13" s="28"/>
      <c r="L13" s="28"/>
      <c r="M13" s="28"/>
      <c r="N13" s="28"/>
      <c r="O13" s="28"/>
      <c r="P13" s="28"/>
      <c r="Q13" s="28"/>
      <c r="R13" s="28"/>
      <c r="S13" s="34">
        <f>S12-F3-E3-D3-C3</f>
        <v>0</v>
      </c>
    </row>
    <row r="14" spans="1:19" s="23" customFormat="1" ht="13" x14ac:dyDescent="0.3">
      <c r="A14" s="29" t="s">
        <v>25</v>
      </c>
      <c r="B14" s="31"/>
      <c r="C14" s="30">
        <v>25000</v>
      </c>
      <c r="D14" s="30">
        <f>C14*0.188</f>
        <v>4700</v>
      </c>
      <c r="E14" s="30"/>
      <c r="F14" s="30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32"/>
    </row>
    <row r="15" spans="1:19" s="23" customFormat="1" ht="13" x14ac:dyDescent="0.3">
      <c r="A15" s="28" t="s">
        <v>11</v>
      </c>
      <c r="B15" s="41">
        <v>0.3</v>
      </c>
      <c r="C15" s="28"/>
      <c r="D15" s="28"/>
      <c r="E15" s="28"/>
      <c r="F15" s="28"/>
      <c r="G15" s="30">
        <f>SUM($C$14:$D$14)/12*$B15</f>
        <v>742.5</v>
      </c>
      <c r="H15" s="30">
        <f t="shared" ref="H15:R15" si="5">SUM($C$14:$D$14)/12*$B15</f>
        <v>742.5</v>
      </c>
      <c r="I15" s="30">
        <f t="shared" si="5"/>
        <v>742.5</v>
      </c>
      <c r="J15" s="30">
        <f t="shared" si="5"/>
        <v>742.5</v>
      </c>
      <c r="K15" s="30">
        <f t="shared" si="5"/>
        <v>742.5</v>
      </c>
      <c r="L15" s="30">
        <f t="shared" si="5"/>
        <v>742.5</v>
      </c>
      <c r="M15" s="30">
        <f t="shared" si="5"/>
        <v>742.5</v>
      </c>
      <c r="N15" s="30">
        <f t="shared" si="5"/>
        <v>742.5</v>
      </c>
      <c r="O15" s="30">
        <f t="shared" si="5"/>
        <v>742.5</v>
      </c>
      <c r="P15" s="30">
        <f t="shared" si="5"/>
        <v>742.5</v>
      </c>
      <c r="Q15" s="30">
        <f t="shared" si="5"/>
        <v>742.5</v>
      </c>
      <c r="R15" s="30">
        <f t="shared" si="5"/>
        <v>742.5</v>
      </c>
      <c r="S15" s="33">
        <f t="shared" ref="S15:S21" si="6">SUM(G15:R15)</f>
        <v>8910</v>
      </c>
    </row>
    <row r="16" spans="1:19" s="23" customFormat="1" ht="13" x14ac:dyDescent="0.3">
      <c r="A16" s="28" t="s">
        <v>12</v>
      </c>
      <c r="B16" s="41">
        <v>0</v>
      </c>
      <c r="C16" s="28"/>
      <c r="D16" s="28"/>
      <c r="E16" s="28"/>
      <c r="F16" s="28"/>
      <c r="G16" s="30">
        <f t="shared" ref="G16:R21" si="7">SUM($C$14:$D$14)/12*$B16</f>
        <v>0</v>
      </c>
      <c r="H16" s="30">
        <f t="shared" si="7"/>
        <v>0</v>
      </c>
      <c r="I16" s="30">
        <f t="shared" si="7"/>
        <v>0</v>
      </c>
      <c r="J16" s="30">
        <f t="shared" si="7"/>
        <v>0</v>
      </c>
      <c r="K16" s="30">
        <f t="shared" si="7"/>
        <v>0</v>
      </c>
      <c r="L16" s="30">
        <f t="shared" si="7"/>
        <v>0</v>
      </c>
      <c r="M16" s="30">
        <f t="shared" si="7"/>
        <v>0</v>
      </c>
      <c r="N16" s="30">
        <f t="shared" si="7"/>
        <v>0</v>
      </c>
      <c r="O16" s="30">
        <f t="shared" si="7"/>
        <v>0</v>
      </c>
      <c r="P16" s="30">
        <f t="shared" si="7"/>
        <v>0</v>
      </c>
      <c r="Q16" s="30">
        <f t="shared" si="7"/>
        <v>0</v>
      </c>
      <c r="R16" s="30">
        <f t="shared" si="7"/>
        <v>0</v>
      </c>
      <c r="S16" s="33">
        <f t="shared" si="6"/>
        <v>0</v>
      </c>
    </row>
    <row r="17" spans="1:19" s="23" customFormat="1" ht="13" x14ac:dyDescent="0.3">
      <c r="A17" s="28" t="s">
        <v>14</v>
      </c>
      <c r="B17" s="41">
        <v>0.3</v>
      </c>
      <c r="C17" s="28"/>
      <c r="D17" s="28"/>
      <c r="E17" s="28"/>
      <c r="F17" s="28"/>
      <c r="G17" s="30">
        <f t="shared" si="7"/>
        <v>742.5</v>
      </c>
      <c r="H17" s="30">
        <f t="shared" si="7"/>
        <v>742.5</v>
      </c>
      <c r="I17" s="30">
        <f t="shared" si="7"/>
        <v>742.5</v>
      </c>
      <c r="J17" s="30">
        <f t="shared" si="7"/>
        <v>742.5</v>
      </c>
      <c r="K17" s="30">
        <f t="shared" si="7"/>
        <v>742.5</v>
      </c>
      <c r="L17" s="30">
        <f t="shared" si="7"/>
        <v>742.5</v>
      </c>
      <c r="M17" s="30">
        <f t="shared" si="7"/>
        <v>742.5</v>
      </c>
      <c r="N17" s="30">
        <f t="shared" si="7"/>
        <v>742.5</v>
      </c>
      <c r="O17" s="30">
        <f t="shared" si="7"/>
        <v>742.5</v>
      </c>
      <c r="P17" s="30">
        <f t="shared" si="7"/>
        <v>742.5</v>
      </c>
      <c r="Q17" s="30">
        <f t="shared" si="7"/>
        <v>742.5</v>
      </c>
      <c r="R17" s="30">
        <f t="shared" si="7"/>
        <v>742.5</v>
      </c>
      <c r="S17" s="33">
        <f t="shared" si="6"/>
        <v>8910</v>
      </c>
    </row>
    <row r="18" spans="1:19" s="23" customFormat="1" ht="13" x14ac:dyDescent="0.3">
      <c r="A18" s="28" t="s">
        <v>17</v>
      </c>
      <c r="B18" s="41">
        <v>0.17499999999999999</v>
      </c>
      <c r="C18" s="28"/>
      <c r="D18" s="28"/>
      <c r="E18" s="28"/>
      <c r="F18" s="28"/>
      <c r="G18" s="30">
        <f t="shared" si="7"/>
        <v>433.125</v>
      </c>
      <c r="H18" s="30">
        <f t="shared" si="7"/>
        <v>433.125</v>
      </c>
      <c r="I18" s="30">
        <f t="shared" si="7"/>
        <v>433.125</v>
      </c>
      <c r="J18" s="30">
        <f t="shared" si="7"/>
        <v>433.125</v>
      </c>
      <c r="K18" s="30">
        <f t="shared" si="7"/>
        <v>433.125</v>
      </c>
      <c r="L18" s="30">
        <f t="shared" si="7"/>
        <v>433.125</v>
      </c>
      <c r="M18" s="30">
        <f t="shared" si="7"/>
        <v>433.125</v>
      </c>
      <c r="N18" s="30">
        <f t="shared" si="7"/>
        <v>433.125</v>
      </c>
      <c r="O18" s="30">
        <f t="shared" si="7"/>
        <v>433.125</v>
      </c>
      <c r="P18" s="30">
        <f t="shared" si="7"/>
        <v>433.125</v>
      </c>
      <c r="Q18" s="30">
        <f t="shared" si="7"/>
        <v>433.125</v>
      </c>
      <c r="R18" s="30">
        <f t="shared" si="7"/>
        <v>433.125</v>
      </c>
      <c r="S18" s="33">
        <f t="shared" si="6"/>
        <v>5197.5</v>
      </c>
    </row>
    <row r="19" spans="1:19" s="23" customFormat="1" ht="13" x14ac:dyDescent="0.3">
      <c r="A19" s="28" t="s">
        <v>18</v>
      </c>
      <c r="B19" s="41">
        <v>0.17499999999999999</v>
      </c>
      <c r="C19" s="28"/>
      <c r="D19" s="28"/>
      <c r="E19" s="28"/>
      <c r="F19" s="28"/>
      <c r="G19" s="30">
        <f t="shared" si="7"/>
        <v>433.125</v>
      </c>
      <c r="H19" s="30">
        <f t="shared" si="7"/>
        <v>433.125</v>
      </c>
      <c r="I19" s="30">
        <f t="shared" si="7"/>
        <v>433.125</v>
      </c>
      <c r="J19" s="30">
        <f t="shared" si="7"/>
        <v>433.125</v>
      </c>
      <c r="K19" s="30">
        <f t="shared" si="7"/>
        <v>433.125</v>
      </c>
      <c r="L19" s="30">
        <f t="shared" si="7"/>
        <v>433.125</v>
      </c>
      <c r="M19" s="30">
        <f t="shared" si="7"/>
        <v>433.125</v>
      </c>
      <c r="N19" s="30">
        <f t="shared" si="7"/>
        <v>433.125</v>
      </c>
      <c r="O19" s="30">
        <f t="shared" si="7"/>
        <v>433.125</v>
      </c>
      <c r="P19" s="30">
        <f t="shared" si="7"/>
        <v>433.125</v>
      </c>
      <c r="Q19" s="30">
        <f t="shared" si="7"/>
        <v>433.125</v>
      </c>
      <c r="R19" s="30">
        <f t="shared" si="7"/>
        <v>433.125</v>
      </c>
      <c r="S19" s="33">
        <f t="shared" si="6"/>
        <v>5197.5</v>
      </c>
    </row>
    <row r="20" spans="1:19" s="23" customFormat="1" ht="13" x14ac:dyDescent="0.3">
      <c r="A20" s="28" t="s">
        <v>19</v>
      </c>
      <c r="B20" s="41">
        <v>0.05</v>
      </c>
      <c r="C20" s="28"/>
      <c r="D20" s="28"/>
      <c r="E20" s="28"/>
      <c r="F20" s="28"/>
      <c r="G20" s="30">
        <f t="shared" si="7"/>
        <v>123.75</v>
      </c>
      <c r="H20" s="30">
        <f t="shared" si="7"/>
        <v>123.75</v>
      </c>
      <c r="I20" s="30">
        <f t="shared" si="7"/>
        <v>123.75</v>
      </c>
      <c r="J20" s="30">
        <f t="shared" si="7"/>
        <v>123.75</v>
      </c>
      <c r="K20" s="30">
        <f t="shared" si="7"/>
        <v>123.75</v>
      </c>
      <c r="L20" s="30">
        <f t="shared" si="7"/>
        <v>123.75</v>
      </c>
      <c r="M20" s="30">
        <f t="shared" si="7"/>
        <v>123.75</v>
      </c>
      <c r="N20" s="30">
        <f t="shared" si="7"/>
        <v>123.75</v>
      </c>
      <c r="O20" s="30">
        <f t="shared" si="7"/>
        <v>123.75</v>
      </c>
      <c r="P20" s="30">
        <f t="shared" si="7"/>
        <v>123.75</v>
      </c>
      <c r="Q20" s="30">
        <f t="shared" si="7"/>
        <v>123.75</v>
      </c>
      <c r="R20" s="30">
        <f t="shared" si="7"/>
        <v>123.75</v>
      </c>
      <c r="S20" s="33">
        <f t="shared" si="6"/>
        <v>1485</v>
      </c>
    </row>
    <row r="21" spans="1:19" s="23" customFormat="1" ht="13" x14ac:dyDescent="0.3">
      <c r="A21" s="28" t="s">
        <v>24</v>
      </c>
      <c r="B21" s="41">
        <v>0</v>
      </c>
      <c r="C21" s="28"/>
      <c r="D21" s="28"/>
      <c r="E21" s="28"/>
      <c r="F21" s="28"/>
      <c r="G21" s="30">
        <f t="shared" si="7"/>
        <v>0</v>
      </c>
      <c r="H21" s="30">
        <f t="shared" si="7"/>
        <v>0</v>
      </c>
      <c r="I21" s="30">
        <f t="shared" si="7"/>
        <v>0</v>
      </c>
      <c r="J21" s="30">
        <f t="shared" si="7"/>
        <v>0</v>
      </c>
      <c r="K21" s="30">
        <f t="shared" si="7"/>
        <v>0</v>
      </c>
      <c r="L21" s="30">
        <f t="shared" si="7"/>
        <v>0</v>
      </c>
      <c r="M21" s="30">
        <f t="shared" si="7"/>
        <v>0</v>
      </c>
      <c r="N21" s="30">
        <f t="shared" si="7"/>
        <v>0</v>
      </c>
      <c r="O21" s="30">
        <f t="shared" si="7"/>
        <v>0</v>
      </c>
      <c r="P21" s="30">
        <f t="shared" si="7"/>
        <v>0</v>
      </c>
      <c r="Q21" s="30">
        <f t="shared" si="7"/>
        <v>0</v>
      </c>
      <c r="R21" s="30">
        <f t="shared" si="7"/>
        <v>0</v>
      </c>
      <c r="S21" s="33">
        <f t="shared" si="6"/>
        <v>0</v>
      </c>
    </row>
    <row r="22" spans="1:19" s="23" customFormat="1" ht="13" x14ac:dyDescent="0.3">
      <c r="A22" s="28"/>
      <c r="B22" s="31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32"/>
    </row>
    <row r="23" spans="1:19" s="40" customFormat="1" ht="13.5" thickBot="1" x14ac:dyDescent="0.35">
      <c r="A23" s="36" t="s">
        <v>6</v>
      </c>
      <c r="B23" s="37"/>
      <c r="C23" s="36"/>
      <c r="D23" s="36"/>
      <c r="E23" s="36"/>
      <c r="F23" s="36"/>
      <c r="G23" s="38">
        <f>SUM(G15:G22)</f>
        <v>2475</v>
      </c>
      <c r="H23" s="38">
        <f t="shared" ref="H23" si="8">SUM(H15:H22)</f>
        <v>2475</v>
      </c>
      <c r="I23" s="38">
        <f t="shared" ref="I23" si="9">SUM(I15:I22)</f>
        <v>2475</v>
      </c>
      <c r="J23" s="38">
        <f t="shared" ref="J23" si="10">SUM(J15:J22)</f>
        <v>2475</v>
      </c>
      <c r="K23" s="38">
        <f t="shared" ref="K23" si="11">SUM(K15:K22)</f>
        <v>2475</v>
      </c>
      <c r="L23" s="38">
        <f t="shared" ref="L23" si="12">SUM(L15:L22)</f>
        <v>2475</v>
      </c>
      <c r="M23" s="38">
        <f t="shared" ref="M23" si="13">SUM(M15:M22)</f>
        <v>2475</v>
      </c>
      <c r="N23" s="38">
        <f t="shared" ref="N23" si="14">SUM(N15:N22)</f>
        <v>2475</v>
      </c>
      <c r="O23" s="38">
        <f t="shared" ref="O23" si="15">SUM(O15:O22)</f>
        <v>2475</v>
      </c>
      <c r="P23" s="38">
        <f t="shared" ref="P23" si="16">SUM(P15:P22)</f>
        <v>2475</v>
      </c>
      <c r="Q23" s="38">
        <f t="shared" ref="Q23" si="17">SUM(Q15:Q22)</f>
        <v>2475</v>
      </c>
      <c r="R23" s="38">
        <f t="shared" ref="R23" si="18">SUM(R15:R22)</f>
        <v>2475</v>
      </c>
      <c r="S23" s="39">
        <f t="shared" ref="S23" si="19">SUM(S15:S22)</f>
        <v>29700</v>
      </c>
    </row>
    <row r="24" spans="1:19" s="23" customFormat="1" ht="13.5" thickTop="1" x14ac:dyDescent="0.3">
      <c r="A24" s="28"/>
      <c r="B24" s="31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34">
        <f>S23-C14-D14</f>
        <v>0</v>
      </c>
    </row>
    <row r="25" spans="1:19" s="23" customFormat="1" ht="13" x14ac:dyDescent="0.3">
      <c r="A25" s="29" t="s">
        <v>28</v>
      </c>
      <c r="B25" s="31"/>
      <c r="C25" s="30">
        <v>36000</v>
      </c>
      <c r="D25" s="30">
        <f>C25*0.188</f>
        <v>6768</v>
      </c>
      <c r="E25" s="30"/>
      <c r="F25" s="30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32"/>
    </row>
    <row r="26" spans="1:19" s="23" customFormat="1" ht="13" x14ac:dyDescent="0.3">
      <c r="A26" s="28" t="s">
        <v>11</v>
      </c>
      <c r="B26" s="41">
        <v>0.1</v>
      </c>
      <c r="C26" s="28"/>
      <c r="D26" s="28"/>
      <c r="E26" s="28"/>
      <c r="F26" s="28"/>
      <c r="G26" s="30">
        <f>SUM($C$25:$D$25)/12*$B26</f>
        <v>356.40000000000003</v>
      </c>
      <c r="H26" s="30">
        <f t="shared" ref="H26:R26" si="20">SUM($C$25:$D$25)/12*$B26</f>
        <v>356.40000000000003</v>
      </c>
      <c r="I26" s="30">
        <f t="shared" si="20"/>
        <v>356.40000000000003</v>
      </c>
      <c r="J26" s="30">
        <f t="shared" si="20"/>
        <v>356.40000000000003</v>
      </c>
      <c r="K26" s="30">
        <f t="shared" si="20"/>
        <v>356.40000000000003</v>
      </c>
      <c r="L26" s="30">
        <f t="shared" si="20"/>
        <v>356.40000000000003</v>
      </c>
      <c r="M26" s="30">
        <f t="shared" si="20"/>
        <v>356.40000000000003</v>
      </c>
      <c r="N26" s="30">
        <f t="shared" si="20"/>
        <v>356.40000000000003</v>
      </c>
      <c r="O26" s="30">
        <f t="shared" si="20"/>
        <v>356.40000000000003</v>
      </c>
      <c r="P26" s="30">
        <f t="shared" si="20"/>
        <v>356.40000000000003</v>
      </c>
      <c r="Q26" s="30">
        <f t="shared" si="20"/>
        <v>356.40000000000003</v>
      </c>
      <c r="R26" s="30">
        <f t="shared" si="20"/>
        <v>356.40000000000003</v>
      </c>
      <c r="S26" s="33">
        <f t="shared" ref="S26:S32" si="21">SUM(G26:R26)</f>
        <v>4276.8</v>
      </c>
    </row>
    <row r="27" spans="1:19" s="23" customFormat="1" ht="13" x14ac:dyDescent="0.3">
      <c r="A27" s="28" t="s">
        <v>12</v>
      </c>
      <c r="B27" s="41">
        <v>0</v>
      </c>
      <c r="C27" s="28"/>
      <c r="D27" s="28"/>
      <c r="E27" s="28"/>
      <c r="F27" s="28"/>
      <c r="G27" s="30">
        <f t="shared" ref="G27:R32" si="22">SUM($C$25:$D$25)/12*$B27</f>
        <v>0</v>
      </c>
      <c r="H27" s="30">
        <f t="shared" si="22"/>
        <v>0</v>
      </c>
      <c r="I27" s="30">
        <f t="shared" si="22"/>
        <v>0</v>
      </c>
      <c r="J27" s="30">
        <f t="shared" si="22"/>
        <v>0</v>
      </c>
      <c r="K27" s="30">
        <f t="shared" si="22"/>
        <v>0</v>
      </c>
      <c r="L27" s="30">
        <f t="shared" si="22"/>
        <v>0</v>
      </c>
      <c r="M27" s="30">
        <f t="shared" si="22"/>
        <v>0</v>
      </c>
      <c r="N27" s="30">
        <f t="shared" si="22"/>
        <v>0</v>
      </c>
      <c r="O27" s="30">
        <f t="shared" si="22"/>
        <v>0</v>
      </c>
      <c r="P27" s="30">
        <f t="shared" si="22"/>
        <v>0</v>
      </c>
      <c r="Q27" s="30">
        <f t="shared" si="22"/>
        <v>0</v>
      </c>
      <c r="R27" s="30">
        <f t="shared" si="22"/>
        <v>0</v>
      </c>
      <c r="S27" s="33">
        <f t="shared" si="21"/>
        <v>0</v>
      </c>
    </row>
    <row r="28" spans="1:19" s="23" customFormat="1" ht="13" x14ac:dyDescent="0.3">
      <c r="A28" s="28" t="s">
        <v>14</v>
      </c>
      <c r="B28" s="41">
        <v>0.6</v>
      </c>
      <c r="C28" s="28"/>
      <c r="D28" s="28"/>
      <c r="E28" s="28"/>
      <c r="F28" s="28"/>
      <c r="G28" s="30">
        <f t="shared" si="22"/>
        <v>2138.4</v>
      </c>
      <c r="H28" s="30">
        <f t="shared" si="22"/>
        <v>2138.4</v>
      </c>
      <c r="I28" s="30">
        <f t="shared" si="22"/>
        <v>2138.4</v>
      </c>
      <c r="J28" s="30">
        <f t="shared" si="22"/>
        <v>2138.4</v>
      </c>
      <c r="K28" s="30">
        <f t="shared" si="22"/>
        <v>2138.4</v>
      </c>
      <c r="L28" s="30">
        <f t="shared" si="22"/>
        <v>2138.4</v>
      </c>
      <c r="M28" s="30">
        <f t="shared" si="22"/>
        <v>2138.4</v>
      </c>
      <c r="N28" s="30">
        <f t="shared" si="22"/>
        <v>2138.4</v>
      </c>
      <c r="O28" s="30">
        <f t="shared" si="22"/>
        <v>2138.4</v>
      </c>
      <c r="P28" s="30">
        <f t="shared" si="22"/>
        <v>2138.4</v>
      </c>
      <c r="Q28" s="30">
        <f t="shared" si="22"/>
        <v>2138.4</v>
      </c>
      <c r="R28" s="30">
        <f t="shared" si="22"/>
        <v>2138.4</v>
      </c>
      <c r="S28" s="33">
        <f t="shared" si="21"/>
        <v>25660.800000000007</v>
      </c>
    </row>
    <row r="29" spans="1:19" s="23" customFormat="1" ht="13" x14ac:dyDescent="0.3">
      <c r="A29" s="28" t="s">
        <v>17</v>
      </c>
      <c r="B29" s="41">
        <v>0.05</v>
      </c>
      <c r="C29" s="28"/>
      <c r="D29" s="28"/>
      <c r="E29" s="28"/>
      <c r="F29" s="28"/>
      <c r="G29" s="30">
        <f t="shared" si="22"/>
        <v>178.20000000000002</v>
      </c>
      <c r="H29" s="30">
        <f t="shared" si="22"/>
        <v>178.20000000000002</v>
      </c>
      <c r="I29" s="30">
        <f t="shared" si="22"/>
        <v>178.20000000000002</v>
      </c>
      <c r="J29" s="30">
        <f t="shared" si="22"/>
        <v>178.20000000000002</v>
      </c>
      <c r="K29" s="30">
        <f t="shared" si="22"/>
        <v>178.20000000000002</v>
      </c>
      <c r="L29" s="30">
        <f t="shared" si="22"/>
        <v>178.20000000000002</v>
      </c>
      <c r="M29" s="30">
        <f t="shared" si="22"/>
        <v>178.20000000000002</v>
      </c>
      <c r="N29" s="30">
        <f t="shared" si="22"/>
        <v>178.20000000000002</v>
      </c>
      <c r="O29" s="30">
        <f t="shared" si="22"/>
        <v>178.20000000000002</v>
      </c>
      <c r="P29" s="30">
        <f t="shared" si="22"/>
        <v>178.20000000000002</v>
      </c>
      <c r="Q29" s="30">
        <f t="shared" si="22"/>
        <v>178.20000000000002</v>
      </c>
      <c r="R29" s="30">
        <f t="shared" si="22"/>
        <v>178.20000000000002</v>
      </c>
      <c r="S29" s="33">
        <f t="shared" si="21"/>
        <v>2138.4</v>
      </c>
    </row>
    <row r="30" spans="1:19" s="23" customFormat="1" ht="13" x14ac:dyDescent="0.3">
      <c r="A30" s="28" t="s">
        <v>18</v>
      </c>
      <c r="B30" s="41">
        <v>0.05</v>
      </c>
      <c r="C30" s="28"/>
      <c r="D30" s="28"/>
      <c r="E30" s="28"/>
      <c r="F30" s="28"/>
      <c r="G30" s="30">
        <f t="shared" si="22"/>
        <v>178.20000000000002</v>
      </c>
      <c r="H30" s="30">
        <f t="shared" si="22"/>
        <v>178.20000000000002</v>
      </c>
      <c r="I30" s="30">
        <f t="shared" si="22"/>
        <v>178.20000000000002</v>
      </c>
      <c r="J30" s="30">
        <f t="shared" si="22"/>
        <v>178.20000000000002</v>
      </c>
      <c r="K30" s="30">
        <f t="shared" si="22"/>
        <v>178.20000000000002</v>
      </c>
      <c r="L30" s="30">
        <f t="shared" si="22"/>
        <v>178.20000000000002</v>
      </c>
      <c r="M30" s="30">
        <f t="shared" si="22"/>
        <v>178.20000000000002</v>
      </c>
      <c r="N30" s="30">
        <f t="shared" si="22"/>
        <v>178.20000000000002</v>
      </c>
      <c r="O30" s="30">
        <f t="shared" si="22"/>
        <v>178.20000000000002</v>
      </c>
      <c r="P30" s="30">
        <f t="shared" si="22"/>
        <v>178.20000000000002</v>
      </c>
      <c r="Q30" s="30">
        <f t="shared" si="22"/>
        <v>178.20000000000002</v>
      </c>
      <c r="R30" s="30">
        <f t="shared" si="22"/>
        <v>178.20000000000002</v>
      </c>
      <c r="S30" s="33">
        <f t="shared" si="21"/>
        <v>2138.4</v>
      </c>
    </row>
    <row r="31" spans="1:19" s="23" customFormat="1" ht="13" x14ac:dyDescent="0.3">
      <c r="A31" s="28" t="s">
        <v>19</v>
      </c>
      <c r="B31" s="41">
        <v>0</v>
      </c>
      <c r="C31" s="28"/>
      <c r="D31" s="28"/>
      <c r="E31" s="28"/>
      <c r="F31" s="28"/>
      <c r="G31" s="30">
        <f>SUM($C$25:$D$25)/12*$B31</f>
        <v>0</v>
      </c>
      <c r="H31" s="30">
        <f t="shared" si="22"/>
        <v>0</v>
      </c>
      <c r="I31" s="30">
        <f t="shared" si="22"/>
        <v>0</v>
      </c>
      <c r="J31" s="30">
        <f t="shared" si="22"/>
        <v>0</v>
      </c>
      <c r="K31" s="30">
        <f t="shared" si="22"/>
        <v>0</v>
      </c>
      <c r="L31" s="30">
        <f t="shared" si="22"/>
        <v>0</v>
      </c>
      <c r="M31" s="30">
        <f t="shared" si="22"/>
        <v>0</v>
      </c>
      <c r="N31" s="30">
        <f t="shared" si="22"/>
        <v>0</v>
      </c>
      <c r="O31" s="30">
        <f t="shared" si="22"/>
        <v>0</v>
      </c>
      <c r="P31" s="30">
        <f t="shared" si="22"/>
        <v>0</v>
      </c>
      <c r="Q31" s="30">
        <f t="shared" si="22"/>
        <v>0</v>
      </c>
      <c r="R31" s="30">
        <f t="shared" si="22"/>
        <v>0</v>
      </c>
      <c r="S31" s="33">
        <f t="shared" si="21"/>
        <v>0</v>
      </c>
    </row>
    <row r="32" spans="1:19" s="23" customFormat="1" ht="13" x14ac:dyDescent="0.3">
      <c r="A32" s="28" t="s">
        <v>24</v>
      </c>
      <c r="B32" s="41">
        <v>0</v>
      </c>
      <c r="C32" s="28"/>
      <c r="D32" s="28"/>
      <c r="E32" s="28"/>
      <c r="F32" s="28"/>
      <c r="G32" s="30">
        <f t="shared" si="22"/>
        <v>0</v>
      </c>
      <c r="H32" s="30">
        <f t="shared" si="22"/>
        <v>0</v>
      </c>
      <c r="I32" s="30">
        <f t="shared" si="22"/>
        <v>0</v>
      </c>
      <c r="J32" s="30">
        <f t="shared" si="22"/>
        <v>0</v>
      </c>
      <c r="K32" s="30">
        <f t="shared" si="22"/>
        <v>0</v>
      </c>
      <c r="L32" s="30">
        <f t="shared" si="22"/>
        <v>0</v>
      </c>
      <c r="M32" s="30">
        <f t="shared" si="22"/>
        <v>0</v>
      </c>
      <c r="N32" s="30">
        <f t="shared" si="22"/>
        <v>0</v>
      </c>
      <c r="O32" s="30">
        <f t="shared" si="22"/>
        <v>0</v>
      </c>
      <c r="P32" s="30">
        <f t="shared" si="22"/>
        <v>0</v>
      </c>
      <c r="Q32" s="30">
        <f t="shared" si="22"/>
        <v>0</v>
      </c>
      <c r="R32" s="30">
        <f t="shared" si="22"/>
        <v>0</v>
      </c>
      <c r="S32" s="33">
        <f t="shared" si="21"/>
        <v>0</v>
      </c>
    </row>
    <row r="33" spans="1:19" s="40" customFormat="1" ht="13.5" thickBot="1" x14ac:dyDescent="0.35">
      <c r="A33" s="36" t="s">
        <v>6</v>
      </c>
      <c r="B33" s="37"/>
      <c r="C33" s="36"/>
      <c r="D33" s="36"/>
      <c r="E33" s="36"/>
      <c r="F33" s="36"/>
      <c r="G33" s="38">
        <f>SUM(G26:G32)</f>
        <v>2851.2</v>
      </c>
      <c r="H33" s="38">
        <f t="shared" ref="H33:R33" si="23">SUM(H26:H32)</f>
        <v>2851.2</v>
      </c>
      <c r="I33" s="38">
        <f t="shared" si="23"/>
        <v>2851.2</v>
      </c>
      <c r="J33" s="38">
        <f t="shared" si="23"/>
        <v>2851.2</v>
      </c>
      <c r="K33" s="38">
        <f t="shared" si="23"/>
        <v>2851.2</v>
      </c>
      <c r="L33" s="38">
        <f t="shared" si="23"/>
        <v>2851.2</v>
      </c>
      <c r="M33" s="38">
        <f t="shared" si="23"/>
        <v>2851.2</v>
      </c>
      <c r="N33" s="38">
        <f t="shared" si="23"/>
        <v>2851.2</v>
      </c>
      <c r="O33" s="38">
        <f t="shared" si="23"/>
        <v>2851.2</v>
      </c>
      <c r="P33" s="38">
        <f t="shared" si="23"/>
        <v>2851.2</v>
      </c>
      <c r="Q33" s="38">
        <f t="shared" si="23"/>
        <v>2851.2</v>
      </c>
      <c r="R33" s="38">
        <f t="shared" si="23"/>
        <v>2851.2</v>
      </c>
      <c r="S33" s="39">
        <f>SUM(S26:S32)</f>
        <v>34214.400000000009</v>
      </c>
    </row>
    <row r="34" spans="1:19" ht="15" thickTop="1" x14ac:dyDescent="0.35">
      <c r="L34" s="50"/>
      <c r="S34" s="34"/>
    </row>
    <row r="35" spans="1:19" s="47" customFormat="1" ht="13" x14ac:dyDescent="0.3">
      <c r="A35" s="43" t="s">
        <v>29</v>
      </c>
      <c r="B35" s="44">
        <v>0.2</v>
      </c>
      <c r="C35" s="43"/>
      <c r="D35" s="43"/>
      <c r="E35" s="43"/>
      <c r="F35" s="43"/>
      <c r="G35" s="45">
        <f t="shared" ref="G35:R35" si="24">SUM($C$25:$D$25)/12*$B35</f>
        <v>712.80000000000007</v>
      </c>
      <c r="H35" s="45">
        <f t="shared" si="24"/>
        <v>712.80000000000007</v>
      </c>
      <c r="I35" s="45">
        <f t="shared" si="24"/>
        <v>712.80000000000007</v>
      </c>
      <c r="J35" s="45">
        <f t="shared" si="24"/>
        <v>712.80000000000007</v>
      </c>
      <c r="K35" s="45">
        <f t="shared" si="24"/>
        <v>712.80000000000007</v>
      </c>
      <c r="L35" s="45">
        <f t="shared" si="24"/>
        <v>712.80000000000007</v>
      </c>
      <c r="M35" s="45">
        <f t="shared" si="24"/>
        <v>712.80000000000007</v>
      </c>
      <c r="N35" s="45">
        <f t="shared" si="24"/>
        <v>712.80000000000007</v>
      </c>
      <c r="O35" s="45">
        <f t="shared" si="24"/>
        <v>712.80000000000007</v>
      </c>
      <c r="P35" s="45">
        <f t="shared" si="24"/>
        <v>712.80000000000007</v>
      </c>
      <c r="Q35" s="45">
        <f t="shared" si="24"/>
        <v>712.80000000000007</v>
      </c>
      <c r="R35" s="45">
        <f t="shared" si="24"/>
        <v>712.80000000000007</v>
      </c>
      <c r="S35" s="46">
        <f>SUM(G35:R35)</f>
        <v>8553.6</v>
      </c>
    </row>
    <row r="37" spans="1:19" s="23" customFormat="1" ht="13" x14ac:dyDescent="0.3">
      <c r="A37" s="29" t="s">
        <v>30</v>
      </c>
      <c r="B37" s="31"/>
      <c r="C37" s="30">
        <v>50000</v>
      </c>
      <c r="D37" s="30">
        <f>C37*0.188</f>
        <v>9400</v>
      </c>
      <c r="E37" s="30">
        <f>4000*12</f>
        <v>48000</v>
      </c>
      <c r="F37" s="30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32"/>
    </row>
    <row r="38" spans="1:19" s="23" customFormat="1" ht="13" x14ac:dyDescent="0.3">
      <c r="A38" s="28" t="s">
        <v>11</v>
      </c>
      <c r="B38" s="41">
        <v>0.1</v>
      </c>
      <c r="C38" s="28"/>
      <c r="D38" s="28"/>
      <c r="E38" s="28"/>
      <c r="F38" s="28"/>
      <c r="G38" s="30">
        <f>SUM($C$37:$D$37)/12*$B38</f>
        <v>495</v>
      </c>
      <c r="H38" s="30">
        <f t="shared" ref="H38:J38" si="25">SUM($C$37:$D$37)/12*$B38</f>
        <v>495</v>
      </c>
      <c r="I38" s="30">
        <f t="shared" si="25"/>
        <v>495</v>
      </c>
      <c r="J38" s="30">
        <f t="shared" si="25"/>
        <v>495</v>
      </c>
      <c r="K38" s="30">
        <f>SUM($C$37:$D$37)/12*$B38</f>
        <v>495</v>
      </c>
      <c r="L38" s="30">
        <f>SUM($E$37)/12*$B38</f>
        <v>400</v>
      </c>
      <c r="M38" s="30">
        <f t="shared" ref="M38:R38" si="26">SUM($E$37)/12*$B38</f>
        <v>400</v>
      </c>
      <c r="N38" s="30">
        <f t="shared" si="26"/>
        <v>400</v>
      </c>
      <c r="O38" s="30">
        <f t="shared" si="26"/>
        <v>400</v>
      </c>
      <c r="P38" s="30">
        <f t="shared" si="26"/>
        <v>400</v>
      </c>
      <c r="Q38" s="30">
        <f t="shared" si="26"/>
        <v>400</v>
      </c>
      <c r="R38" s="30">
        <f t="shared" si="26"/>
        <v>400</v>
      </c>
      <c r="S38" s="33">
        <f t="shared" ref="S38:S44" si="27">SUM(G38:R38)</f>
        <v>5275</v>
      </c>
    </row>
    <row r="39" spans="1:19" s="23" customFormat="1" ht="13" x14ac:dyDescent="0.3">
      <c r="A39" s="28" t="s">
        <v>12</v>
      </c>
      <c r="B39" s="41">
        <v>0.5</v>
      </c>
      <c r="C39" s="28"/>
      <c r="D39" s="28"/>
      <c r="E39" s="28"/>
      <c r="F39" s="28"/>
      <c r="G39" s="30">
        <f t="shared" ref="G39:K44" si="28">SUM($C$37:$D$37)/12*$B39</f>
        <v>2475</v>
      </c>
      <c r="H39" s="30">
        <f t="shared" si="28"/>
        <v>2475</v>
      </c>
      <c r="I39" s="30">
        <f t="shared" si="28"/>
        <v>2475</v>
      </c>
      <c r="J39" s="30">
        <f t="shared" si="28"/>
        <v>2475</v>
      </c>
      <c r="K39" s="30">
        <f t="shared" si="28"/>
        <v>2475</v>
      </c>
      <c r="L39" s="30">
        <f t="shared" ref="L39:R44" si="29">SUM($E$37)/12*$B39</f>
        <v>2000</v>
      </c>
      <c r="M39" s="30">
        <f t="shared" si="29"/>
        <v>2000</v>
      </c>
      <c r="N39" s="30">
        <f t="shared" si="29"/>
        <v>2000</v>
      </c>
      <c r="O39" s="30">
        <f t="shared" si="29"/>
        <v>2000</v>
      </c>
      <c r="P39" s="30">
        <f t="shared" si="29"/>
        <v>2000</v>
      </c>
      <c r="Q39" s="30">
        <f t="shared" si="29"/>
        <v>2000</v>
      </c>
      <c r="R39" s="30">
        <f t="shared" si="29"/>
        <v>2000</v>
      </c>
      <c r="S39" s="33">
        <f t="shared" si="27"/>
        <v>26375</v>
      </c>
    </row>
    <row r="40" spans="1:19" s="23" customFormat="1" ht="13" x14ac:dyDescent="0.3">
      <c r="A40" s="28" t="s">
        <v>14</v>
      </c>
      <c r="B40" s="41"/>
      <c r="C40" s="28"/>
      <c r="D40" s="28"/>
      <c r="E40" s="28"/>
      <c r="F40" s="28"/>
      <c r="G40" s="30">
        <f t="shared" si="28"/>
        <v>0</v>
      </c>
      <c r="H40" s="30">
        <f t="shared" si="28"/>
        <v>0</v>
      </c>
      <c r="I40" s="30">
        <f t="shared" si="28"/>
        <v>0</v>
      </c>
      <c r="J40" s="30">
        <f t="shared" si="28"/>
        <v>0</v>
      </c>
      <c r="K40" s="30">
        <f t="shared" si="28"/>
        <v>0</v>
      </c>
      <c r="L40" s="30">
        <f t="shared" si="29"/>
        <v>0</v>
      </c>
      <c r="M40" s="30">
        <f t="shared" si="29"/>
        <v>0</v>
      </c>
      <c r="N40" s="30">
        <f t="shared" si="29"/>
        <v>0</v>
      </c>
      <c r="O40" s="30">
        <f t="shared" si="29"/>
        <v>0</v>
      </c>
      <c r="P40" s="30">
        <f t="shared" si="29"/>
        <v>0</v>
      </c>
      <c r="Q40" s="30">
        <f t="shared" si="29"/>
        <v>0</v>
      </c>
      <c r="R40" s="30">
        <f t="shared" si="29"/>
        <v>0</v>
      </c>
      <c r="S40" s="33">
        <f t="shared" si="27"/>
        <v>0</v>
      </c>
    </row>
    <row r="41" spans="1:19" s="23" customFormat="1" ht="13" x14ac:dyDescent="0.3">
      <c r="A41" s="28" t="s">
        <v>17</v>
      </c>
      <c r="B41" s="41">
        <v>0.1</v>
      </c>
      <c r="C41" s="28"/>
      <c r="D41" s="28"/>
      <c r="E41" s="28"/>
      <c r="F41" s="28"/>
      <c r="G41" s="30">
        <f t="shared" si="28"/>
        <v>495</v>
      </c>
      <c r="H41" s="30">
        <f t="shared" si="28"/>
        <v>495</v>
      </c>
      <c r="I41" s="30">
        <f t="shared" si="28"/>
        <v>495</v>
      </c>
      <c r="J41" s="30">
        <f t="shared" si="28"/>
        <v>495</v>
      </c>
      <c r="K41" s="30">
        <f t="shared" si="28"/>
        <v>495</v>
      </c>
      <c r="L41" s="30">
        <f t="shared" si="29"/>
        <v>400</v>
      </c>
      <c r="M41" s="30">
        <f t="shared" si="29"/>
        <v>400</v>
      </c>
      <c r="N41" s="30">
        <f t="shared" si="29"/>
        <v>400</v>
      </c>
      <c r="O41" s="30">
        <f t="shared" si="29"/>
        <v>400</v>
      </c>
      <c r="P41" s="30">
        <f t="shared" si="29"/>
        <v>400</v>
      </c>
      <c r="Q41" s="30">
        <f t="shared" si="29"/>
        <v>400</v>
      </c>
      <c r="R41" s="30">
        <f t="shared" si="29"/>
        <v>400</v>
      </c>
      <c r="S41" s="33">
        <f t="shared" si="27"/>
        <v>5275</v>
      </c>
    </row>
    <row r="42" spans="1:19" s="23" customFormat="1" ht="13" x14ac:dyDescent="0.3">
      <c r="A42" s="28" t="s">
        <v>18</v>
      </c>
      <c r="B42" s="41">
        <v>0.1</v>
      </c>
      <c r="C42" s="28"/>
      <c r="D42" s="28"/>
      <c r="E42" s="28"/>
      <c r="F42" s="28"/>
      <c r="G42" s="30">
        <f t="shared" si="28"/>
        <v>495</v>
      </c>
      <c r="H42" s="30">
        <f t="shared" si="28"/>
        <v>495</v>
      </c>
      <c r="I42" s="30">
        <f t="shared" si="28"/>
        <v>495</v>
      </c>
      <c r="J42" s="30">
        <f t="shared" si="28"/>
        <v>495</v>
      </c>
      <c r="K42" s="30">
        <f t="shared" si="28"/>
        <v>495</v>
      </c>
      <c r="L42" s="30">
        <f t="shared" si="29"/>
        <v>400</v>
      </c>
      <c r="M42" s="30">
        <f t="shared" si="29"/>
        <v>400</v>
      </c>
      <c r="N42" s="30">
        <f t="shared" si="29"/>
        <v>400</v>
      </c>
      <c r="O42" s="30">
        <f t="shared" si="29"/>
        <v>400</v>
      </c>
      <c r="P42" s="30">
        <f t="shared" si="29"/>
        <v>400</v>
      </c>
      <c r="Q42" s="30">
        <f t="shared" si="29"/>
        <v>400</v>
      </c>
      <c r="R42" s="30">
        <f t="shared" si="29"/>
        <v>400</v>
      </c>
      <c r="S42" s="33">
        <f t="shared" si="27"/>
        <v>5275</v>
      </c>
    </row>
    <row r="43" spans="1:19" s="23" customFormat="1" ht="13" x14ac:dyDescent="0.3">
      <c r="A43" s="28" t="s">
        <v>19</v>
      </c>
      <c r="B43" s="41"/>
      <c r="C43" s="28"/>
      <c r="D43" s="28"/>
      <c r="E43" s="28"/>
      <c r="F43" s="28"/>
      <c r="G43" s="30">
        <f t="shared" si="28"/>
        <v>0</v>
      </c>
      <c r="H43" s="30">
        <f t="shared" si="28"/>
        <v>0</v>
      </c>
      <c r="I43" s="30">
        <f t="shared" si="28"/>
        <v>0</v>
      </c>
      <c r="J43" s="30">
        <f t="shared" si="28"/>
        <v>0</v>
      </c>
      <c r="K43" s="30">
        <f t="shared" si="28"/>
        <v>0</v>
      </c>
      <c r="L43" s="30">
        <f t="shared" si="29"/>
        <v>0</v>
      </c>
      <c r="M43" s="30">
        <f t="shared" si="29"/>
        <v>0</v>
      </c>
      <c r="N43" s="30">
        <f t="shared" si="29"/>
        <v>0</v>
      </c>
      <c r="O43" s="30">
        <f t="shared" si="29"/>
        <v>0</v>
      </c>
      <c r="P43" s="30">
        <f t="shared" si="29"/>
        <v>0</v>
      </c>
      <c r="Q43" s="30">
        <f t="shared" si="29"/>
        <v>0</v>
      </c>
      <c r="R43" s="30">
        <f t="shared" si="29"/>
        <v>0</v>
      </c>
      <c r="S43" s="33">
        <f t="shared" si="27"/>
        <v>0</v>
      </c>
    </row>
    <row r="44" spans="1:19" s="23" customFormat="1" ht="13" x14ac:dyDescent="0.3">
      <c r="A44" s="28" t="s">
        <v>24</v>
      </c>
      <c r="B44" s="41"/>
      <c r="C44" s="28"/>
      <c r="D44" s="28"/>
      <c r="E44" s="28"/>
      <c r="F44" s="28"/>
      <c r="G44" s="30">
        <f t="shared" si="28"/>
        <v>0</v>
      </c>
      <c r="H44" s="30">
        <f t="shared" si="28"/>
        <v>0</v>
      </c>
      <c r="I44" s="30">
        <f t="shared" si="28"/>
        <v>0</v>
      </c>
      <c r="J44" s="30">
        <f t="shared" si="28"/>
        <v>0</v>
      </c>
      <c r="K44" s="30">
        <f t="shared" si="28"/>
        <v>0</v>
      </c>
      <c r="L44" s="30">
        <f t="shared" si="29"/>
        <v>0</v>
      </c>
      <c r="M44" s="30">
        <f t="shared" si="29"/>
        <v>0</v>
      </c>
      <c r="N44" s="30">
        <f t="shared" si="29"/>
        <v>0</v>
      </c>
      <c r="O44" s="30">
        <f t="shared" si="29"/>
        <v>0</v>
      </c>
      <c r="P44" s="30">
        <f t="shared" si="29"/>
        <v>0</v>
      </c>
      <c r="Q44" s="30">
        <f t="shared" si="29"/>
        <v>0</v>
      </c>
      <c r="R44" s="30">
        <f t="shared" si="29"/>
        <v>0</v>
      </c>
      <c r="S44" s="33">
        <f t="shared" si="27"/>
        <v>0</v>
      </c>
    </row>
    <row r="45" spans="1:19" s="40" customFormat="1" ht="13.5" thickBot="1" x14ac:dyDescent="0.35">
      <c r="A45" s="36" t="s">
        <v>6</v>
      </c>
      <c r="B45" s="37"/>
      <c r="C45" s="36"/>
      <c r="D45" s="36"/>
      <c r="E45" s="36"/>
      <c r="F45" s="36"/>
      <c r="G45" s="38">
        <f>SUM(G38:G44)</f>
        <v>3960</v>
      </c>
      <c r="H45" s="38">
        <f t="shared" ref="H45:R45" si="30">SUM(H38:H44)</f>
        <v>3960</v>
      </c>
      <c r="I45" s="38">
        <f t="shared" si="30"/>
        <v>3960</v>
      </c>
      <c r="J45" s="38">
        <f t="shared" si="30"/>
        <v>3960</v>
      </c>
      <c r="K45" s="38">
        <f t="shared" si="30"/>
        <v>3960</v>
      </c>
      <c r="L45" s="38">
        <f>SUM(L38:L44)</f>
        <v>3200</v>
      </c>
      <c r="M45" s="38">
        <f t="shared" si="30"/>
        <v>3200</v>
      </c>
      <c r="N45" s="38">
        <f t="shared" si="30"/>
        <v>3200</v>
      </c>
      <c r="O45" s="38">
        <f t="shared" si="30"/>
        <v>3200</v>
      </c>
      <c r="P45" s="38">
        <f t="shared" si="30"/>
        <v>3200</v>
      </c>
      <c r="Q45" s="38">
        <f t="shared" si="30"/>
        <v>3200</v>
      </c>
      <c r="R45" s="38">
        <f t="shared" si="30"/>
        <v>3200</v>
      </c>
      <c r="S45" s="39">
        <f>SUM(S38:S44)</f>
        <v>42200</v>
      </c>
    </row>
    <row r="46" spans="1:19" ht="15" thickTop="1" x14ac:dyDescent="0.35">
      <c r="S46" s="48"/>
    </row>
    <row r="47" spans="1:19" s="47" customFormat="1" ht="13" x14ac:dyDescent="0.3">
      <c r="A47" s="43" t="s">
        <v>29</v>
      </c>
      <c r="B47" s="44">
        <v>0.2</v>
      </c>
      <c r="C47" s="43"/>
      <c r="D47" s="43"/>
      <c r="E47" s="43"/>
      <c r="F47" s="43"/>
      <c r="G47" s="45">
        <f>SUM($C$37:$D$37)/12*$B47</f>
        <v>990</v>
      </c>
      <c r="H47" s="45">
        <f t="shared" ref="H47:K47" si="31">SUM($C$37:$D$37)/12*$B47</f>
        <v>990</v>
      </c>
      <c r="I47" s="45">
        <f t="shared" si="31"/>
        <v>990</v>
      </c>
      <c r="J47" s="45">
        <f t="shared" si="31"/>
        <v>990</v>
      </c>
      <c r="K47" s="45">
        <f t="shared" si="31"/>
        <v>990</v>
      </c>
      <c r="L47" s="45">
        <f>SUM($E$37)/12*$B47</f>
        <v>800</v>
      </c>
      <c r="M47" s="45">
        <f t="shared" ref="M47:R47" si="32">SUM($E$37)/12*$B47</f>
        <v>800</v>
      </c>
      <c r="N47" s="45">
        <f t="shared" si="32"/>
        <v>800</v>
      </c>
      <c r="O47" s="45">
        <f t="shared" si="32"/>
        <v>800</v>
      </c>
      <c r="P47" s="45">
        <f t="shared" si="32"/>
        <v>800</v>
      </c>
      <c r="Q47" s="45">
        <f t="shared" si="32"/>
        <v>800</v>
      </c>
      <c r="R47" s="45">
        <f t="shared" si="32"/>
        <v>800</v>
      </c>
      <c r="S47" s="46">
        <f>SUM(G47:R47)</f>
        <v>10550</v>
      </c>
    </row>
    <row r="50" spans="1:19" s="23" customFormat="1" ht="13" x14ac:dyDescent="0.3">
      <c r="A50" s="29" t="s">
        <v>31</v>
      </c>
      <c r="B50" s="31"/>
      <c r="C50" s="30">
        <v>30000</v>
      </c>
      <c r="D50" s="30">
        <f>C50*0.188</f>
        <v>5640</v>
      </c>
      <c r="E50" s="30"/>
      <c r="F50" s="30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32"/>
    </row>
    <row r="51" spans="1:19" s="23" customFormat="1" ht="13" x14ac:dyDescent="0.3">
      <c r="A51" s="28" t="s">
        <v>11</v>
      </c>
      <c r="B51" s="41">
        <v>0.1</v>
      </c>
      <c r="C51" s="28"/>
      <c r="D51" s="28"/>
      <c r="E51" s="28"/>
      <c r="F51" s="28"/>
      <c r="G51" s="30">
        <f t="shared" ref="G51:K57" si="33">SUM($C$50:$D$50)/12*$B51</f>
        <v>297</v>
      </c>
      <c r="H51" s="30">
        <f t="shared" si="33"/>
        <v>297</v>
      </c>
      <c r="I51" s="30">
        <f t="shared" si="33"/>
        <v>297</v>
      </c>
      <c r="J51" s="30">
        <f t="shared" si="33"/>
        <v>297</v>
      </c>
      <c r="K51" s="30">
        <f t="shared" si="33"/>
        <v>297</v>
      </c>
      <c r="L51" s="30">
        <f>SUM($C$50:$D$50)/12*$B51/2</f>
        <v>148.5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3">
        <f t="shared" ref="S51:S57" si="34">SUM(G51:R51)</f>
        <v>1633.5</v>
      </c>
    </row>
    <row r="52" spans="1:19" s="23" customFormat="1" ht="13" x14ac:dyDescent="0.3">
      <c r="A52" s="28" t="s">
        <v>12</v>
      </c>
      <c r="B52" s="41">
        <v>0.5</v>
      </c>
      <c r="C52" s="28"/>
      <c r="D52" s="28"/>
      <c r="E52" s="28"/>
      <c r="F52" s="28"/>
      <c r="G52" s="30">
        <f t="shared" si="33"/>
        <v>1485</v>
      </c>
      <c r="H52" s="30">
        <f t="shared" si="33"/>
        <v>1485</v>
      </c>
      <c r="I52" s="30">
        <f t="shared" si="33"/>
        <v>1485</v>
      </c>
      <c r="J52" s="30">
        <f t="shared" si="33"/>
        <v>1485</v>
      </c>
      <c r="K52" s="30">
        <f t="shared" si="33"/>
        <v>1485</v>
      </c>
      <c r="L52" s="30">
        <f t="shared" ref="L52:L57" si="35">SUM($C$50:$D$50)/12*$B52/2</f>
        <v>742.5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3">
        <f t="shared" si="34"/>
        <v>8167.5</v>
      </c>
    </row>
    <row r="53" spans="1:19" s="23" customFormat="1" ht="13" x14ac:dyDescent="0.3">
      <c r="A53" s="28" t="s">
        <v>14</v>
      </c>
      <c r="B53" s="41">
        <v>0.1</v>
      </c>
      <c r="C53" s="28"/>
      <c r="D53" s="28"/>
      <c r="E53" s="28"/>
      <c r="F53" s="28"/>
      <c r="G53" s="30">
        <f t="shared" si="33"/>
        <v>297</v>
      </c>
      <c r="H53" s="30">
        <f t="shared" si="33"/>
        <v>297</v>
      </c>
      <c r="I53" s="30">
        <f t="shared" si="33"/>
        <v>297</v>
      </c>
      <c r="J53" s="30">
        <f t="shared" si="33"/>
        <v>297</v>
      </c>
      <c r="K53" s="30">
        <f t="shared" si="33"/>
        <v>297</v>
      </c>
      <c r="L53" s="30">
        <f t="shared" si="35"/>
        <v>148.5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3">
        <f t="shared" si="34"/>
        <v>1633.5</v>
      </c>
    </row>
    <row r="54" spans="1:19" s="23" customFormat="1" ht="13" x14ac:dyDescent="0.3">
      <c r="A54" s="28" t="s">
        <v>17</v>
      </c>
      <c r="B54" s="41">
        <v>0.1</v>
      </c>
      <c r="C54" s="28"/>
      <c r="D54" s="28"/>
      <c r="E54" s="28"/>
      <c r="F54" s="28"/>
      <c r="G54" s="30">
        <f t="shared" si="33"/>
        <v>297</v>
      </c>
      <c r="H54" s="30">
        <f t="shared" si="33"/>
        <v>297</v>
      </c>
      <c r="I54" s="30">
        <f t="shared" si="33"/>
        <v>297</v>
      </c>
      <c r="J54" s="30">
        <f t="shared" si="33"/>
        <v>297</v>
      </c>
      <c r="K54" s="30">
        <f t="shared" si="33"/>
        <v>297</v>
      </c>
      <c r="L54" s="30">
        <f t="shared" si="35"/>
        <v>148.5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3">
        <f t="shared" si="34"/>
        <v>1633.5</v>
      </c>
    </row>
    <row r="55" spans="1:19" s="23" customFormat="1" ht="13" x14ac:dyDescent="0.3">
      <c r="A55" s="28" t="s">
        <v>18</v>
      </c>
      <c r="B55" s="41">
        <v>0.1</v>
      </c>
      <c r="C55" s="28"/>
      <c r="D55" s="28"/>
      <c r="E55" s="28"/>
      <c r="F55" s="28"/>
      <c r="G55" s="30">
        <f t="shared" si="33"/>
        <v>297</v>
      </c>
      <c r="H55" s="30">
        <f t="shared" si="33"/>
        <v>297</v>
      </c>
      <c r="I55" s="30">
        <f t="shared" si="33"/>
        <v>297</v>
      </c>
      <c r="J55" s="30">
        <f t="shared" si="33"/>
        <v>297</v>
      </c>
      <c r="K55" s="30">
        <f t="shared" si="33"/>
        <v>297</v>
      </c>
      <c r="L55" s="30">
        <f t="shared" si="35"/>
        <v>148.5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3">
        <f t="shared" si="34"/>
        <v>1633.5</v>
      </c>
    </row>
    <row r="56" spans="1:19" s="23" customFormat="1" ht="13" x14ac:dyDescent="0.3">
      <c r="A56" s="28" t="s">
        <v>19</v>
      </c>
      <c r="B56" s="41">
        <v>0.1</v>
      </c>
      <c r="C56" s="28"/>
      <c r="D56" s="28"/>
      <c r="E56" s="28"/>
      <c r="F56" s="28"/>
      <c r="G56" s="30">
        <f t="shared" si="33"/>
        <v>297</v>
      </c>
      <c r="H56" s="30">
        <f t="shared" si="33"/>
        <v>297</v>
      </c>
      <c r="I56" s="30">
        <f t="shared" si="33"/>
        <v>297</v>
      </c>
      <c r="J56" s="30">
        <f t="shared" si="33"/>
        <v>297</v>
      </c>
      <c r="K56" s="30">
        <f t="shared" si="33"/>
        <v>297</v>
      </c>
      <c r="L56" s="30">
        <f t="shared" si="35"/>
        <v>148.5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3">
        <f t="shared" si="34"/>
        <v>1633.5</v>
      </c>
    </row>
    <row r="57" spans="1:19" s="23" customFormat="1" ht="13" x14ac:dyDescent="0.3">
      <c r="A57" s="28" t="s">
        <v>24</v>
      </c>
      <c r="B57" s="41"/>
      <c r="C57" s="28"/>
      <c r="D57" s="28"/>
      <c r="E57" s="28"/>
      <c r="F57" s="28"/>
      <c r="G57" s="30">
        <f t="shared" si="33"/>
        <v>0</v>
      </c>
      <c r="H57" s="30">
        <f t="shared" si="33"/>
        <v>0</v>
      </c>
      <c r="I57" s="30">
        <f t="shared" si="33"/>
        <v>0</v>
      </c>
      <c r="J57" s="30">
        <f t="shared" si="33"/>
        <v>0</v>
      </c>
      <c r="K57" s="30">
        <f t="shared" si="33"/>
        <v>0</v>
      </c>
      <c r="L57" s="30">
        <f t="shared" si="35"/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3">
        <f t="shared" si="34"/>
        <v>0</v>
      </c>
    </row>
    <row r="58" spans="1:19" s="40" customFormat="1" ht="13.5" thickBot="1" x14ac:dyDescent="0.35">
      <c r="A58" s="36" t="s">
        <v>6</v>
      </c>
      <c r="B58" s="37"/>
      <c r="C58" s="36"/>
      <c r="D58" s="36"/>
      <c r="E58" s="36"/>
      <c r="F58" s="36"/>
      <c r="G58" s="38">
        <f>SUM(G51:G57)</f>
        <v>2970</v>
      </c>
      <c r="H58" s="38">
        <f t="shared" ref="H58" si="36">SUM(H51:H57)</f>
        <v>2970</v>
      </c>
      <c r="I58" s="38">
        <f t="shared" ref="I58" si="37">SUM(I51:I57)</f>
        <v>2970</v>
      </c>
      <c r="J58" s="38">
        <f t="shared" ref="J58" si="38">SUM(J51:J57)</f>
        <v>2970</v>
      </c>
      <c r="K58" s="38">
        <f t="shared" ref="K58" si="39">SUM(K51:K57)</f>
        <v>2970</v>
      </c>
      <c r="L58" s="38">
        <f>SUM(L51:L57)</f>
        <v>1485</v>
      </c>
      <c r="M58" s="38">
        <f t="shared" ref="M58" si="40">SUM(M51:M57)</f>
        <v>0</v>
      </c>
      <c r="N58" s="38">
        <f t="shared" ref="N58" si="41">SUM(N51:N57)</f>
        <v>0</v>
      </c>
      <c r="O58" s="38">
        <f t="shared" ref="O58" si="42">SUM(O51:O57)</f>
        <v>0</v>
      </c>
      <c r="P58" s="38">
        <f t="shared" ref="P58" si="43">SUM(P51:P57)</f>
        <v>0</v>
      </c>
      <c r="Q58" s="38">
        <f t="shared" ref="Q58" si="44">SUM(Q51:Q57)</f>
        <v>0</v>
      </c>
      <c r="R58" s="38">
        <f t="shared" ref="R58" si="45">SUM(R51:R57)</f>
        <v>0</v>
      </c>
      <c r="S58" s="39">
        <f>SUM(S51:S57)</f>
        <v>16335</v>
      </c>
    </row>
    <row r="59" spans="1:19" ht="15" thickTop="1" x14ac:dyDescent="0.35">
      <c r="S59" s="48"/>
    </row>
    <row r="60" spans="1:19" s="23" customFormat="1" ht="13" x14ac:dyDescent="0.3">
      <c r="A60" s="29" t="s">
        <v>34</v>
      </c>
      <c r="B60" s="31"/>
      <c r="C60" s="30">
        <v>26820</v>
      </c>
      <c r="D60" s="30">
        <f>C60*0.188</f>
        <v>5042.16</v>
      </c>
      <c r="E60" s="30">
        <f>C60/2</f>
        <v>13410</v>
      </c>
      <c r="F60" s="30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32"/>
    </row>
    <row r="61" spans="1:19" s="23" customFormat="1" ht="13" x14ac:dyDescent="0.3">
      <c r="A61" s="28" t="s">
        <v>11</v>
      </c>
      <c r="B61" s="41"/>
      <c r="C61" s="28"/>
      <c r="D61" s="28"/>
      <c r="E61" s="28"/>
      <c r="F61" s="28"/>
      <c r="G61" s="30">
        <f>SUM($C$60:$D$60)/12*$B61</f>
        <v>0</v>
      </c>
      <c r="H61" s="30">
        <f t="shared" ref="H61:J61" si="46">SUM($C$60:$D$60)/12*$B61</f>
        <v>0</v>
      </c>
      <c r="I61" s="30">
        <f t="shared" si="46"/>
        <v>0</v>
      </c>
      <c r="J61" s="30">
        <f t="shared" si="46"/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3">
        <f t="shared" ref="S61:S69" si="47">SUM(G61:R61)</f>
        <v>0</v>
      </c>
    </row>
    <row r="62" spans="1:19" s="23" customFormat="1" ht="13" x14ac:dyDescent="0.3">
      <c r="A62" s="28" t="s">
        <v>12</v>
      </c>
      <c r="B62" s="41">
        <v>0.45</v>
      </c>
      <c r="C62" s="28"/>
      <c r="D62" s="28"/>
      <c r="E62" s="28"/>
      <c r="F62" s="28"/>
      <c r="G62" s="30">
        <f>SUM($C$60:$D$60)/12*$B62</f>
        <v>1194.8309999999999</v>
      </c>
      <c r="H62" s="30">
        <f t="shared" ref="G62:J68" si="48">SUM($C$60:$D$60)/12*$B62</f>
        <v>1194.8309999999999</v>
      </c>
      <c r="I62" s="30">
        <f t="shared" si="48"/>
        <v>1194.8309999999999</v>
      </c>
      <c r="J62" s="30">
        <f t="shared" si="48"/>
        <v>1194.8309999999999</v>
      </c>
      <c r="K62" s="30">
        <f>SUM($C$60:$D$60)/12*$B62/2+SUM($E$60/12/2*B62)</f>
        <v>848.85299999999995</v>
      </c>
      <c r="L62" s="30">
        <f>SUM($E$60)/12*0.9</f>
        <v>1005.75</v>
      </c>
      <c r="M62" s="30">
        <f t="shared" ref="M62:R62" si="49">SUM($E$60)/12*0.9</f>
        <v>1005.75</v>
      </c>
      <c r="N62" s="30">
        <f t="shared" si="49"/>
        <v>1005.75</v>
      </c>
      <c r="O62" s="30">
        <f t="shared" si="49"/>
        <v>1005.75</v>
      </c>
      <c r="P62" s="30">
        <f t="shared" si="49"/>
        <v>1005.75</v>
      </c>
      <c r="Q62" s="30">
        <f t="shared" si="49"/>
        <v>1005.75</v>
      </c>
      <c r="R62" s="30">
        <f t="shared" si="49"/>
        <v>1005.75</v>
      </c>
      <c r="S62" s="33">
        <f t="shared" si="47"/>
        <v>12668.427</v>
      </c>
    </row>
    <row r="63" spans="1:19" s="23" customFormat="1" ht="13" x14ac:dyDescent="0.3">
      <c r="A63" s="28" t="s">
        <v>14</v>
      </c>
      <c r="B63" s="41"/>
      <c r="C63" s="28"/>
      <c r="D63" s="28"/>
      <c r="E63" s="28"/>
      <c r="F63" s="28"/>
      <c r="G63" s="30">
        <f t="shared" si="48"/>
        <v>0</v>
      </c>
      <c r="H63" s="30">
        <f t="shared" si="48"/>
        <v>0</v>
      </c>
      <c r="I63" s="30">
        <f t="shared" si="48"/>
        <v>0</v>
      </c>
      <c r="J63" s="30">
        <f t="shared" si="48"/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3">
        <f t="shared" si="47"/>
        <v>0</v>
      </c>
    </row>
    <row r="64" spans="1:19" s="23" customFormat="1" ht="13" x14ac:dyDescent="0.3">
      <c r="A64" s="28" t="s">
        <v>17</v>
      </c>
      <c r="B64" s="41"/>
      <c r="C64" s="28"/>
      <c r="D64" s="28"/>
      <c r="E64" s="28"/>
      <c r="F64" s="28"/>
      <c r="G64" s="30">
        <f t="shared" si="48"/>
        <v>0</v>
      </c>
      <c r="H64" s="30">
        <f t="shared" si="48"/>
        <v>0</v>
      </c>
      <c r="I64" s="30">
        <f t="shared" si="48"/>
        <v>0</v>
      </c>
      <c r="J64" s="30">
        <f t="shared" si="48"/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3">
        <f t="shared" si="47"/>
        <v>0</v>
      </c>
    </row>
    <row r="65" spans="1:19" s="23" customFormat="1" ht="13" x14ac:dyDescent="0.3">
      <c r="A65" s="28" t="s">
        <v>18</v>
      </c>
      <c r="B65" s="41"/>
      <c r="C65" s="28"/>
      <c r="D65" s="28"/>
      <c r="E65" s="28"/>
      <c r="F65" s="28"/>
      <c r="G65" s="30">
        <f t="shared" si="48"/>
        <v>0</v>
      </c>
      <c r="H65" s="30">
        <f t="shared" si="48"/>
        <v>0</v>
      </c>
      <c r="I65" s="30">
        <f t="shared" si="48"/>
        <v>0</v>
      </c>
      <c r="J65" s="30">
        <f t="shared" si="48"/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3">
        <f t="shared" si="47"/>
        <v>0</v>
      </c>
    </row>
    <row r="66" spans="1:19" s="23" customFormat="1" ht="13" x14ac:dyDescent="0.3">
      <c r="A66" s="28" t="s">
        <v>19</v>
      </c>
      <c r="B66" s="41"/>
      <c r="C66" s="28"/>
      <c r="D66" s="28"/>
      <c r="E66" s="28"/>
      <c r="F66" s="28"/>
      <c r="G66" s="30">
        <f t="shared" si="48"/>
        <v>0</v>
      </c>
      <c r="H66" s="30">
        <f t="shared" si="48"/>
        <v>0</v>
      </c>
      <c r="I66" s="30">
        <f t="shared" si="48"/>
        <v>0</v>
      </c>
      <c r="J66" s="30">
        <f t="shared" si="48"/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3">
        <f t="shared" si="47"/>
        <v>0</v>
      </c>
    </row>
    <row r="67" spans="1:19" s="23" customFormat="1" ht="13" x14ac:dyDescent="0.3">
      <c r="A67" s="28" t="s">
        <v>24</v>
      </c>
      <c r="B67" s="41"/>
      <c r="C67" s="28"/>
      <c r="D67" s="28"/>
      <c r="E67" s="28"/>
      <c r="F67" s="28"/>
      <c r="G67" s="30">
        <f t="shared" si="48"/>
        <v>0</v>
      </c>
      <c r="H67" s="30">
        <f t="shared" si="48"/>
        <v>0</v>
      </c>
      <c r="I67" s="30">
        <f t="shared" si="48"/>
        <v>0</v>
      </c>
      <c r="J67" s="30">
        <f t="shared" si="48"/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3">
        <f t="shared" si="47"/>
        <v>0</v>
      </c>
    </row>
    <row r="68" spans="1:19" s="23" customFormat="1" ht="13" x14ac:dyDescent="0.3">
      <c r="A68" s="28" t="s">
        <v>13</v>
      </c>
      <c r="B68" s="41">
        <v>0.45</v>
      </c>
      <c r="C68" s="28"/>
      <c r="D68" s="28"/>
      <c r="E68" s="28"/>
      <c r="F68" s="28"/>
      <c r="G68" s="30">
        <f t="shared" si="48"/>
        <v>1194.8309999999999</v>
      </c>
      <c r="H68" s="30">
        <f t="shared" si="48"/>
        <v>1194.8309999999999</v>
      </c>
      <c r="I68" s="30">
        <f t="shared" si="48"/>
        <v>1194.8309999999999</v>
      </c>
      <c r="J68" s="30">
        <f t="shared" si="48"/>
        <v>1194.8309999999999</v>
      </c>
      <c r="K68" s="30">
        <f>SUM($C$60:$D$60)/12*$B68/2+SUM($E$60/12/2*B68)</f>
        <v>848.85299999999995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3">
        <f t="shared" si="47"/>
        <v>5628.1769999999997</v>
      </c>
    </row>
    <row r="69" spans="1:19" s="23" customFormat="1" ht="13" x14ac:dyDescent="0.3">
      <c r="A69" s="28" t="s">
        <v>37</v>
      </c>
      <c r="B69" s="41">
        <v>-0.5</v>
      </c>
      <c r="C69" s="28"/>
      <c r="D69" s="28"/>
      <c r="E69" s="28"/>
      <c r="F69" s="28"/>
      <c r="G69" s="30">
        <f>SUM($C$60)/12*$B69</f>
        <v>-1117.5</v>
      </c>
      <c r="H69" s="30">
        <f t="shared" ref="H69:J69" si="50">SUM($C$60)/12*$B69</f>
        <v>-1117.5</v>
      </c>
      <c r="I69" s="30">
        <f t="shared" si="50"/>
        <v>-1117.5</v>
      </c>
      <c r="J69" s="30">
        <f t="shared" si="50"/>
        <v>-1117.5</v>
      </c>
      <c r="K69" s="30">
        <f>SUM($C$60)/12*$B69/2+SUM($E$60/12/2*B69)</f>
        <v>-838.125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3">
        <f t="shared" si="47"/>
        <v>-5308.125</v>
      </c>
    </row>
    <row r="70" spans="1:19" s="40" customFormat="1" ht="13.5" thickBot="1" x14ac:dyDescent="0.35">
      <c r="A70" s="36" t="s">
        <v>6</v>
      </c>
      <c r="B70" s="37"/>
      <c r="C70" s="36"/>
      <c r="D70" s="36"/>
      <c r="E70" s="36"/>
      <c r="F70" s="36"/>
      <c r="G70" s="38">
        <f>SUM(G61:G69)</f>
        <v>1272.1619999999998</v>
      </c>
      <c r="H70" s="38">
        <f t="shared" ref="H70:R70" si="51">SUM(H61:H69)</f>
        <v>1272.1619999999998</v>
      </c>
      <c r="I70" s="38">
        <f t="shared" si="51"/>
        <v>1272.1619999999998</v>
      </c>
      <c r="J70" s="38">
        <f t="shared" si="51"/>
        <v>1272.1619999999998</v>
      </c>
      <c r="K70" s="38">
        <f t="shared" si="51"/>
        <v>859.5809999999999</v>
      </c>
      <c r="L70" s="38">
        <f t="shared" si="51"/>
        <v>1005.75</v>
      </c>
      <c r="M70" s="38">
        <f t="shared" si="51"/>
        <v>1005.75</v>
      </c>
      <c r="N70" s="38">
        <f t="shared" si="51"/>
        <v>1005.75</v>
      </c>
      <c r="O70" s="38">
        <f t="shared" si="51"/>
        <v>1005.75</v>
      </c>
      <c r="P70" s="38">
        <f t="shared" si="51"/>
        <v>1005.75</v>
      </c>
      <c r="Q70" s="38">
        <f t="shared" si="51"/>
        <v>1005.75</v>
      </c>
      <c r="R70" s="38">
        <f t="shared" si="51"/>
        <v>1005.75</v>
      </c>
      <c r="S70" s="39">
        <f>SUM(S61:S67)</f>
        <v>12668.427</v>
      </c>
    </row>
    <row r="71" spans="1:19" ht="15" thickTop="1" x14ac:dyDescent="0.35"/>
    <row r="72" spans="1:19" s="47" customFormat="1" ht="13" x14ac:dyDescent="0.3">
      <c r="A72" s="43" t="s">
        <v>29</v>
      </c>
      <c r="B72" s="44">
        <v>0.1</v>
      </c>
      <c r="C72" s="43"/>
      <c r="D72" s="43"/>
      <c r="E72" s="43"/>
      <c r="F72" s="43"/>
      <c r="G72" s="45">
        <f>SUM($C$60:$D$60)/12*$B72</f>
        <v>265.51799999999997</v>
      </c>
      <c r="H72" s="45">
        <f t="shared" ref="H72:J72" si="52">SUM($C$60:$D$60)/12*$B72</f>
        <v>265.51799999999997</v>
      </c>
      <c r="I72" s="45">
        <f t="shared" si="52"/>
        <v>265.51799999999997</v>
      </c>
      <c r="J72" s="45">
        <f t="shared" si="52"/>
        <v>265.51799999999997</v>
      </c>
      <c r="K72" s="45">
        <f>SUM($C$60:$D$60)/12*$B72/2+SUM($E$60/12/2*B72)</f>
        <v>188.63399999999999</v>
      </c>
      <c r="L72" s="45">
        <f>SUM($E$60)/12*0.1</f>
        <v>111.75</v>
      </c>
      <c r="M72" s="45">
        <f t="shared" ref="M72:R72" si="53">SUM($E$60)/12*0.1</f>
        <v>111.75</v>
      </c>
      <c r="N72" s="45">
        <f t="shared" si="53"/>
        <v>111.75</v>
      </c>
      <c r="O72" s="45">
        <f t="shared" si="53"/>
        <v>111.75</v>
      </c>
      <c r="P72" s="45">
        <f t="shared" si="53"/>
        <v>111.75</v>
      </c>
      <c r="Q72" s="45">
        <f t="shared" si="53"/>
        <v>111.75</v>
      </c>
      <c r="R72" s="45">
        <f t="shared" si="53"/>
        <v>111.75</v>
      </c>
      <c r="S72" s="46">
        <f>SUM(G72:R72)</f>
        <v>2032.9559999999999</v>
      </c>
    </row>
    <row r="73" spans="1:19" s="23" customFormat="1" ht="13" x14ac:dyDescent="0.3">
      <c r="A73" s="28"/>
      <c r="B73" s="49"/>
      <c r="C73" s="28"/>
      <c r="D73" s="28"/>
      <c r="E73" s="28"/>
      <c r="F73" s="28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3"/>
    </row>
    <row r="74" spans="1:19" s="23" customFormat="1" ht="13" x14ac:dyDescent="0.3">
      <c r="A74" s="29" t="s">
        <v>36</v>
      </c>
      <c r="B74" s="31"/>
      <c r="C74" s="30">
        <v>26000</v>
      </c>
      <c r="D74" s="30">
        <f>C74*0.188</f>
        <v>4888</v>
      </c>
      <c r="E74" s="30">
        <f>C74/2</f>
        <v>13000</v>
      </c>
      <c r="F74" s="30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32"/>
    </row>
    <row r="75" spans="1:19" s="23" customFormat="1" ht="13" x14ac:dyDescent="0.3">
      <c r="A75" s="28" t="s">
        <v>11</v>
      </c>
      <c r="B75" s="41"/>
      <c r="C75" s="28"/>
      <c r="D75" s="28"/>
      <c r="E75" s="28"/>
      <c r="F75" s="28"/>
      <c r="G75" s="30">
        <f>SUM($C$74:$D$74)/12*$B75</f>
        <v>0</v>
      </c>
      <c r="H75" s="30">
        <f t="shared" ref="H75:J75" si="54">SUM($C$74:$D$74)/12*$B75</f>
        <v>0</v>
      </c>
      <c r="I75" s="30">
        <f t="shared" si="54"/>
        <v>0</v>
      </c>
      <c r="J75" s="30">
        <f t="shared" si="54"/>
        <v>0</v>
      </c>
      <c r="K75" s="30">
        <f t="shared" ref="K75:K82" si="55">SUM($C$74:$D$74)/12*$B75/2+SUM($E$74/12/2*B75)</f>
        <v>0</v>
      </c>
      <c r="L75" s="30">
        <f>SUM($E$74)/12*$B75</f>
        <v>0</v>
      </c>
      <c r="M75" s="30">
        <f t="shared" ref="M75:R75" si="56">SUM($E$74)/12*$B75</f>
        <v>0</v>
      </c>
      <c r="N75" s="30">
        <f t="shared" si="56"/>
        <v>0</v>
      </c>
      <c r="O75" s="30">
        <f t="shared" si="56"/>
        <v>0</v>
      </c>
      <c r="P75" s="30">
        <f t="shared" si="56"/>
        <v>0</v>
      </c>
      <c r="Q75" s="30">
        <f t="shared" si="56"/>
        <v>0</v>
      </c>
      <c r="R75" s="30">
        <f t="shared" si="56"/>
        <v>0</v>
      </c>
      <c r="S75" s="33">
        <f t="shared" ref="S75:S83" si="57">SUM(G75:R75)</f>
        <v>0</v>
      </c>
    </row>
    <row r="76" spans="1:19" s="23" customFormat="1" ht="13" x14ac:dyDescent="0.3">
      <c r="A76" s="28" t="s">
        <v>12</v>
      </c>
      <c r="B76" s="41">
        <v>0.5</v>
      </c>
      <c r="C76" s="28"/>
      <c r="D76" s="28"/>
      <c r="E76" s="28"/>
      <c r="F76" s="28"/>
      <c r="G76" s="30">
        <f t="shared" ref="G76:J82" si="58">SUM($C$74:$D$74)/12*$B76</f>
        <v>1287</v>
      </c>
      <c r="H76" s="30">
        <f t="shared" si="58"/>
        <v>1287</v>
      </c>
      <c r="I76" s="30">
        <f t="shared" si="58"/>
        <v>1287</v>
      </c>
      <c r="J76" s="30">
        <f t="shared" si="58"/>
        <v>1287</v>
      </c>
      <c r="K76" s="30">
        <f t="shared" si="55"/>
        <v>914.33333333333326</v>
      </c>
      <c r="L76" s="30">
        <f>SUM($E$74)/12*$B76*2</f>
        <v>1083.3333333333333</v>
      </c>
      <c r="M76" s="30">
        <f t="shared" ref="M76:R76" si="59">SUM($E$74)/12*$B76*2</f>
        <v>1083.3333333333333</v>
      </c>
      <c r="N76" s="30">
        <f t="shared" si="59"/>
        <v>1083.3333333333333</v>
      </c>
      <c r="O76" s="30">
        <f t="shared" si="59"/>
        <v>1083.3333333333333</v>
      </c>
      <c r="P76" s="30">
        <f t="shared" si="59"/>
        <v>1083.3333333333333</v>
      </c>
      <c r="Q76" s="30">
        <f t="shared" si="59"/>
        <v>1083.3333333333333</v>
      </c>
      <c r="R76" s="30">
        <f t="shared" si="59"/>
        <v>1083.3333333333333</v>
      </c>
      <c r="S76" s="33">
        <f t="shared" si="57"/>
        <v>13645.66666666667</v>
      </c>
    </row>
    <row r="77" spans="1:19" s="23" customFormat="1" ht="13" x14ac:dyDescent="0.3">
      <c r="A77" s="28" t="s">
        <v>14</v>
      </c>
      <c r="B77" s="41"/>
      <c r="C77" s="28"/>
      <c r="D77" s="28"/>
      <c r="E77" s="28"/>
      <c r="F77" s="28"/>
      <c r="G77" s="30">
        <f t="shared" si="58"/>
        <v>0</v>
      </c>
      <c r="H77" s="30">
        <f t="shared" si="58"/>
        <v>0</v>
      </c>
      <c r="I77" s="30">
        <f t="shared" si="58"/>
        <v>0</v>
      </c>
      <c r="J77" s="30">
        <f t="shared" si="58"/>
        <v>0</v>
      </c>
      <c r="K77" s="30">
        <f t="shared" si="55"/>
        <v>0</v>
      </c>
      <c r="L77" s="30">
        <f t="shared" ref="L77:R81" si="60">SUM($E$74)/12*$B77</f>
        <v>0</v>
      </c>
      <c r="M77" s="30">
        <f t="shared" si="60"/>
        <v>0</v>
      </c>
      <c r="N77" s="30">
        <f t="shared" si="60"/>
        <v>0</v>
      </c>
      <c r="O77" s="30">
        <f t="shared" si="60"/>
        <v>0</v>
      </c>
      <c r="P77" s="30">
        <f t="shared" si="60"/>
        <v>0</v>
      </c>
      <c r="Q77" s="30">
        <f t="shared" si="60"/>
        <v>0</v>
      </c>
      <c r="R77" s="30">
        <f t="shared" si="60"/>
        <v>0</v>
      </c>
      <c r="S77" s="33">
        <f t="shared" si="57"/>
        <v>0</v>
      </c>
    </row>
    <row r="78" spans="1:19" s="23" customFormat="1" ht="13" x14ac:dyDescent="0.3">
      <c r="A78" s="28" t="s">
        <v>17</v>
      </c>
      <c r="B78" s="41"/>
      <c r="C78" s="28"/>
      <c r="D78" s="28"/>
      <c r="E78" s="28"/>
      <c r="F78" s="28"/>
      <c r="G78" s="30">
        <f t="shared" si="58"/>
        <v>0</v>
      </c>
      <c r="H78" s="30">
        <f t="shared" si="58"/>
        <v>0</v>
      </c>
      <c r="I78" s="30">
        <f t="shared" si="58"/>
        <v>0</v>
      </c>
      <c r="J78" s="30">
        <f t="shared" si="58"/>
        <v>0</v>
      </c>
      <c r="K78" s="30">
        <f t="shared" si="55"/>
        <v>0</v>
      </c>
      <c r="L78" s="30">
        <f t="shared" si="60"/>
        <v>0</v>
      </c>
      <c r="M78" s="30">
        <f t="shared" si="60"/>
        <v>0</v>
      </c>
      <c r="N78" s="30">
        <f t="shared" si="60"/>
        <v>0</v>
      </c>
      <c r="O78" s="30">
        <f t="shared" si="60"/>
        <v>0</v>
      </c>
      <c r="P78" s="30">
        <f t="shared" si="60"/>
        <v>0</v>
      </c>
      <c r="Q78" s="30">
        <f t="shared" si="60"/>
        <v>0</v>
      </c>
      <c r="R78" s="30">
        <f t="shared" si="60"/>
        <v>0</v>
      </c>
      <c r="S78" s="33">
        <f t="shared" si="57"/>
        <v>0</v>
      </c>
    </row>
    <row r="79" spans="1:19" s="23" customFormat="1" ht="13" x14ac:dyDescent="0.3">
      <c r="A79" s="28" t="s">
        <v>18</v>
      </c>
      <c r="B79" s="41"/>
      <c r="C79" s="28"/>
      <c r="D79" s="28"/>
      <c r="E79" s="28"/>
      <c r="F79" s="28"/>
      <c r="G79" s="30">
        <f t="shared" si="58"/>
        <v>0</v>
      </c>
      <c r="H79" s="30">
        <f t="shared" si="58"/>
        <v>0</v>
      </c>
      <c r="I79" s="30">
        <f t="shared" si="58"/>
        <v>0</v>
      </c>
      <c r="J79" s="30">
        <f t="shared" si="58"/>
        <v>0</v>
      </c>
      <c r="K79" s="30">
        <f t="shared" si="55"/>
        <v>0</v>
      </c>
      <c r="L79" s="30">
        <f t="shared" si="60"/>
        <v>0</v>
      </c>
      <c r="M79" s="30">
        <f t="shared" si="60"/>
        <v>0</v>
      </c>
      <c r="N79" s="30">
        <f t="shared" si="60"/>
        <v>0</v>
      </c>
      <c r="O79" s="30">
        <f t="shared" si="60"/>
        <v>0</v>
      </c>
      <c r="P79" s="30">
        <f t="shared" si="60"/>
        <v>0</v>
      </c>
      <c r="Q79" s="30">
        <f t="shared" si="60"/>
        <v>0</v>
      </c>
      <c r="R79" s="30">
        <f t="shared" si="60"/>
        <v>0</v>
      </c>
      <c r="S79" s="33">
        <f t="shared" si="57"/>
        <v>0</v>
      </c>
    </row>
    <row r="80" spans="1:19" s="23" customFormat="1" ht="13" x14ac:dyDescent="0.3">
      <c r="A80" s="28" t="s">
        <v>19</v>
      </c>
      <c r="B80" s="41"/>
      <c r="C80" s="28"/>
      <c r="D80" s="28"/>
      <c r="E80" s="28"/>
      <c r="F80" s="28"/>
      <c r="G80" s="30">
        <f t="shared" si="58"/>
        <v>0</v>
      </c>
      <c r="H80" s="30">
        <f t="shared" si="58"/>
        <v>0</v>
      </c>
      <c r="I80" s="30">
        <f t="shared" si="58"/>
        <v>0</v>
      </c>
      <c r="J80" s="30">
        <f t="shared" si="58"/>
        <v>0</v>
      </c>
      <c r="K80" s="30">
        <f t="shared" si="55"/>
        <v>0</v>
      </c>
      <c r="L80" s="30">
        <f t="shared" si="60"/>
        <v>0</v>
      </c>
      <c r="M80" s="30">
        <f t="shared" si="60"/>
        <v>0</v>
      </c>
      <c r="N80" s="30">
        <f t="shared" si="60"/>
        <v>0</v>
      </c>
      <c r="O80" s="30">
        <f t="shared" si="60"/>
        <v>0</v>
      </c>
      <c r="P80" s="30">
        <f t="shared" si="60"/>
        <v>0</v>
      </c>
      <c r="Q80" s="30">
        <f t="shared" si="60"/>
        <v>0</v>
      </c>
      <c r="R80" s="30">
        <f t="shared" si="60"/>
        <v>0</v>
      </c>
      <c r="S80" s="33">
        <f t="shared" si="57"/>
        <v>0</v>
      </c>
    </row>
    <row r="81" spans="1:19" s="23" customFormat="1" ht="13" x14ac:dyDescent="0.3">
      <c r="A81" s="28" t="s">
        <v>24</v>
      </c>
      <c r="B81" s="41"/>
      <c r="C81" s="28"/>
      <c r="D81" s="28"/>
      <c r="E81" s="28"/>
      <c r="F81" s="28"/>
      <c r="G81" s="30">
        <f t="shared" si="58"/>
        <v>0</v>
      </c>
      <c r="H81" s="30">
        <f t="shared" si="58"/>
        <v>0</v>
      </c>
      <c r="I81" s="30">
        <f t="shared" si="58"/>
        <v>0</v>
      </c>
      <c r="J81" s="30">
        <f t="shared" si="58"/>
        <v>0</v>
      </c>
      <c r="K81" s="30">
        <f t="shared" si="55"/>
        <v>0</v>
      </c>
      <c r="L81" s="30">
        <f t="shared" si="60"/>
        <v>0</v>
      </c>
      <c r="M81" s="30">
        <f t="shared" si="60"/>
        <v>0</v>
      </c>
      <c r="N81" s="30">
        <f t="shared" si="60"/>
        <v>0</v>
      </c>
      <c r="O81" s="30">
        <f t="shared" si="60"/>
        <v>0</v>
      </c>
      <c r="P81" s="30">
        <f t="shared" si="60"/>
        <v>0</v>
      </c>
      <c r="Q81" s="30">
        <f t="shared" si="60"/>
        <v>0</v>
      </c>
      <c r="R81" s="30">
        <f t="shared" si="60"/>
        <v>0</v>
      </c>
      <c r="S81" s="33">
        <f t="shared" si="57"/>
        <v>0</v>
      </c>
    </row>
    <row r="82" spans="1:19" s="23" customFormat="1" ht="13" x14ac:dyDescent="0.3">
      <c r="A82" s="28" t="s">
        <v>13</v>
      </c>
      <c r="B82" s="41">
        <v>0.5</v>
      </c>
      <c r="C82" s="28"/>
      <c r="D82" s="28"/>
      <c r="E82" s="28"/>
      <c r="F82" s="28"/>
      <c r="G82" s="30">
        <f t="shared" si="58"/>
        <v>1287</v>
      </c>
      <c r="H82" s="30">
        <f t="shared" si="58"/>
        <v>1287</v>
      </c>
      <c r="I82" s="30">
        <f t="shared" si="58"/>
        <v>1287</v>
      </c>
      <c r="J82" s="30">
        <f t="shared" si="58"/>
        <v>1287</v>
      </c>
      <c r="K82" s="30">
        <f t="shared" si="55"/>
        <v>914.33333333333326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3">
        <f t="shared" si="57"/>
        <v>6062.333333333333</v>
      </c>
    </row>
    <row r="83" spans="1:19" s="23" customFormat="1" ht="13" x14ac:dyDescent="0.3">
      <c r="A83" s="28" t="s">
        <v>37</v>
      </c>
      <c r="B83" s="41">
        <v>-0.5</v>
      </c>
      <c r="C83" s="28"/>
      <c r="D83" s="28"/>
      <c r="E83" s="28"/>
      <c r="F83" s="28"/>
      <c r="G83" s="30">
        <f>SUM($C$74)/12*$B83</f>
        <v>-1083.3333333333333</v>
      </c>
      <c r="H83" s="30">
        <f t="shared" ref="H83:J83" si="61">SUM($C$74)/12*$B83</f>
        <v>-1083.3333333333333</v>
      </c>
      <c r="I83" s="30">
        <f t="shared" si="61"/>
        <v>-1083.3333333333333</v>
      </c>
      <c r="J83" s="30">
        <f t="shared" si="61"/>
        <v>-1083.3333333333333</v>
      </c>
      <c r="K83" s="30">
        <f>SUM($C$74)/12*$B83/2+SUM($E$74/12/2*B83)</f>
        <v>-812.5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3">
        <f t="shared" si="57"/>
        <v>-5145.833333333333</v>
      </c>
    </row>
    <row r="84" spans="1:19" s="40" customFormat="1" ht="13.5" thickBot="1" x14ac:dyDescent="0.35">
      <c r="A84" s="36" t="s">
        <v>6</v>
      </c>
      <c r="B84" s="37"/>
      <c r="C84" s="36"/>
      <c r="D84" s="36"/>
      <c r="E84" s="36"/>
      <c r="F84" s="36"/>
      <c r="G84" s="38">
        <f>SUM(G75:G83)</f>
        <v>1490.6666666666667</v>
      </c>
      <c r="H84" s="38">
        <f t="shared" ref="H84:R84" si="62">SUM(H75:H83)</f>
        <v>1490.6666666666667</v>
      </c>
      <c r="I84" s="38">
        <f t="shared" si="62"/>
        <v>1490.6666666666667</v>
      </c>
      <c r="J84" s="38">
        <f t="shared" si="62"/>
        <v>1490.6666666666667</v>
      </c>
      <c r="K84" s="38">
        <f t="shared" si="62"/>
        <v>1016.1666666666665</v>
      </c>
      <c r="L84" s="38">
        <f t="shared" si="62"/>
        <v>1083.3333333333333</v>
      </c>
      <c r="M84" s="38">
        <f t="shared" si="62"/>
        <v>1083.3333333333333</v>
      </c>
      <c r="N84" s="38">
        <f t="shared" si="62"/>
        <v>1083.3333333333333</v>
      </c>
      <c r="O84" s="38">
        <f t="shared" si="62"/>
        <v>1083.3333333333333</v>
      </c>
      <c r="P84" s="38">
        <f t="shared" si="62"/>
        <v>1083.3333333333333</v>
      </c>
      <c r="Q84" s="38">
        <f t="shared" si="62"/>
        <v>1083.3333333333333</v>
      </c>
      <c r="R84" s="38">
        <f t="shared" si="62"/>
        <v>1083.3333333333333</v>
      </c>
      <c r="S84" s="39">
        <f>SUM(S75:S81)</f>
        <v>13645.66666666667</v>
      </c>
    </row>
    <row r="85" spans="1:19" ht="15" thickTop="1" x14ac:dyDescent="0.35"/>
    <row r="86" spans="1:19" s="23" customFormat="1" ht="13" x14ac:dyDescent="0.3">
      <c r="A86" s="28"/>
      <c r="B86" s="49"/>
      <c r="C86" s="28"/>
      <c r="D86" s="28"/>
      <c r="E86" s="28"/>
      <c r="F86" s="28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3"/>
    </row>
    <row r="87" spans="1:19" s="23" customFormat="1" ht="13" x14ac:dyDescent="0.3">
      <c r="A87" s="28"/>
      <c r="B87" s="49"/>
      <c r="C87" s="28"/>
      <c r="D87" s="28"/>
      <c r="E87" s="28"/>
      <c r="F87" s="28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3"/>
    </row>
    <row r="88" spans="1:19" s="23" customFormat="1" ht="13" x14ac:dyDescent="0.3">
      <c r="A88" s="28"/>
      <c r="B88" s="49"/>
      <c r="C88" s="28"/>
      <c r="D88" s="28"/>
      <c r="E88" s="28"/>
      <c r="F88" s="28"/>
      <c r="G88" s="30">
        <f>G12+G23+G33+G45+G58+G70+G84</f>
        <v>18781.028666666669</v>
      </c>
      <c r="H88" s="30">
        <f t="shared" ref="H88:R88" si="63">H12+H23+H33+H45+H58+H70+H84</f>
        <v>18781.028666666669</v>
      </c>
      <c r="I88" s="30">
        <f t="shared" si="63"/>
        <v>18781.028666666669</v>
      </c>
      <c r="J88" s="30">
        <f t="shared" si="63"/>
        <v>21157.028666666669</v>
      </c>
      <c r="K88" s="30">
        <f t="shared" si="63"/>
        <v>17893.947666666667</v>
      </c>
      <c r="L88" s="30">
        <f t="shared" si="63"/>
        <v>15862.283333333335</v>
      </c>
      <c r="M88" s="30">
        <f t="shared" si="63"/>
        <v>14377.283333333335</v>
      </c>
      <c r="N88" s="30">
        <f t="shared" si="63"/>
        <v>14377.283333333335</v>
      </c>
      <c r="O88" s="30">
        <f t="shared" si="63"/>
        <v>14377.283333333335</v>
      </c>
      <c r="P88" s="30">
        <f t="shared" si="63"/>
        <v>14377.283333333335</v>
      </c>
      <c r="Q88" s="30">
        <f t="shared" si="63"/>
        <v>14377.283333333335</v>
      </c>
      <c r="R88" s="30">
        <f t="shared" si="63"/>
        <v>14377.283333333335</v>
      </c>
      <c r="S88" s="33"/>
    </row>
    <row r="89" spans="1:19" s="23" customFormat="1" ht="13" x14ac:dyDescent="0.3">
      <c r="A89" s="28"/>
      <c r="B89" s="49"/>
      <c r="C89" s="28"/>
      <c r="D89" s="28"/>
      <c r="E89" s="28"/>
      <c r="F89" s="28"/>
      <c r="G89" s="30">
        <f>SUM(G5+G16+G27+G39+G52+G62+G76)*-1</f>
        <v>-6535.8810000000003</v>
      </c>
      <c r="H89" s="30">
        <f t="shared" ref="H89:R89" si="64">SUM(H5+H16+H27+H39+H52+H62+H76)*-1</f>
        <v>-6535.8810000000003</v>
      </c>
      <c r="I89" s="30">
        <f t="shared" si="64"/>
        <v>-6535.8810000000003</v>
      </c>
      <c r="J89" s="30">
        <f t="shared" si="64"/>
        <v>-6595.2809999999999</v>
      </c>
      <c r="K89" s="30">
        <f t="shared" si="64"/>
        <v>-5817.2363333333333</v>
      </c>
      <c r="L89" s="30">
        <f t="shared" si="64"/>
        <v>-4925.6333333333332</v>
      </c>
      <c r="M89" s="30">
        <f t="shared" si="64"/>
        <v>-4183.1333333333332</v>
      </c>
      <c r="N89" s="30">
        <f t="shared" si="64"/>
        <v>-4183.1333333333332</v>
      </c>
      <c r="O89" s="30">
        <f t="shared" si="64"/>
        <v>-4183.1333333333332</v>
      </c>
      <c r="P89" s="30">
        <f t="shared" si="64"/>
        <v>-4183.1333333333332</v>
      </c>
      <c r="Q89" s="30">
        <f t="shared" si="64"/>
        <v>-4183.1333333333332</v>
      </c>
      <c r="R89" s="30">
        <f t="shared" si="64"/>
        <v>-4183.1333333333332</v>
      </c>
      <c r="S89" s="33"/>
    </row>
    <row r="90" spans="1:19" s="23" customFormat="1" ht="13.5" thickBot="1" x14ac:dyDescent="0.35">
      <c r="A90" s="28"/>
      <c r="B90" s="49"/>
      <c r="C90" s="28"/>
      <c r="D90" s="28"/>
      <c r="E90" s="28"/>
      <c r="F90" s="28"/>
      <c r="G90" s="55">
        <f>SUM(G88:G89)</f>
        <v>12245.147666666668</v>
      </c>
      <c r="H90" s="55">
        <f t="shared" ref="H90:R90" si="65">SUM(H88:H89)</f>
        <v>12245.147666666668</v>
      </c>
      <c r="I90" s="55">
        <f t="shared" si="65"/>
        <v>12245.147666666668</v>
      </c>
      <c r="J90" s="55">
        <f t="shared" si="65"/>
        <v>14561.74766666667</v>
      </c>
      <c r="K90" s="55">
        <f t="shared" si="65"/>
        <v>12076.711333333333</v>
      </c>
      <c r="L90" s="55">
        <f t="shared" si="65"/>
        <v>10936.650000000001</v>
      </c>
      <c r="M90" s="55">
        <f t="shared" si="65"/>
        <v>10194.150000000001</v>
      </c>
      <c r="N90" s="55">
        <f t="shared" si="65"/>
        <v>10194.150000000001</v>
      </c>
      <c r="O90" s="55">
        <f t="shared" si="65"/>
        <v>10194.150000000001</v>
      </c>
      <c r="P90" s="55">
        <f t="shared" si="65"/>
        <v>10194.150000000001</v>
      </c>
      <c r="Q90" s="55">
        <f t="shared" si="65"/>
        <v>10194.150000000001</v>
      </c>
      <c r="R90" s="56">
        <f t="shared" si="65"/>
        <v>10194.150000000001</v>
      </c>
      <c r="S90" s="33"/>
    </row>
    <row r="91" spans="1:19" s="23" customFormat="1" ht="13.5" thickTop="1" x14ac:dyDescent="0.3">
      <c r="A91" s="28"/>
      <c r="B91" s="49"/>
      <c r="C91" s="28"/>
      <c r="D91" s="28"/>
      <c r="E91" s="28"/>
      <c r="F91" s="28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3"/>
    </row>
    <row r="92" spans="1:19" s="23" customFormat="1" ht="13" x14ac:dyDescent="0.3">
      <c r="A92" s="28"/>
      <c r="B92" s="49"/>
      <c r="C92" s="28"/>
      <c r="D92" s="28"/>
      <c r="E92" s="28"/>
      <c r="F92" s="28"/>
      <c r="G92" s="30"/>
      <c r="H92" s="30"/>
      <c r="I92" s="62" t="s">
        <v>38</v>
      </c>
      <c r="J92" s="62">
        <v>126000</v>
      </c>
      <c r="K92" s="30"/>
      <c r="L92" s="30"/>
      <c r="M92" s="30"/>
      <c r="N92" s="30"/>
      <c r="O92" s="30"/>
      <c r="P92" s="30"/>
      <c r="Q92" s="30"/>
      <c r="R92" s="30"/>
      <c r="S92" s="33"/>
    </row>
    <row r="93" spans="1:19" s="23" customFormat="1" ht="13" x14ac:dyDescent="0.3">
      <c r="A93" s="28"/>
      <c r="B93" s="49"/>
      <c r="C93" s="28"/>
      <c r="D93" s="28"/>
      <c r="E93" s="28"/>
      <c r="F93" s="28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3"/>
    </row>
    <row r="94" spans="1:19" s="23" customFormat="1" ht="13" x14ac:dyDescent="0.3">
      <c r="A94" s="28"/>
      <c r="B94" s="49"/>
      <c r="C94" s="28"/>
      <c r="D94" s="28"/>
      <c r="E94" s="28"/>
      <c r="F94" s="28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3"/>
    </row>
    <row r="95" spans="1:19" s="23" customFormat="1" ht="13" x14ac:dyDescent="0.3">
      <c r="A95" s="28"/>
      <c r="B95" s="49"/>
      <c r="C95" s="28"/>
      <c r="D95" s="28"/>
      <c r="E95" s="28"/>
      <c r="F95" s="28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3"/>
    </row>
    <row r="96" spans="1:19" s="23" customFormat="1" ht="13" x14ac:dyDescent="0.3">
      <c r="A96" s="28"/>
      <c r="B96" s="49"/>
      <c r="C96" s="28"/>
      <c r="D96" s="28"/>
      <c r="E96" s="28"/>
      <c r="F96" s="28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3"/>
    </row>
    <row r="97" spans="1:19" x14ac:dyDescent="0.35">
      <c r="L97" s="26"/>
      <c r="M97" s="26"/>
      <c r="N97" s="26"/>
      <c r="O97" s="26"/>
      <c r="P97" s="26"/>
      <c r="Q97" s="26"/>
      <c r="R97" s="26"/>
    </row>
    <row r="98" spans="1:19" x14ac:dyDescent="0.35">
      <c r="A98" s="27" t="s">
        <v>33</v>
      </c>
    </row>
    <row r="99" spans="1:19" x14ac:dyDescent="0.35">
      <c r="A99" s="28" t="s">
        <v>30</v>
      </c>
      <c r="B99" s="49" t="s">
        <v>32</v>
      </c>
      <c r="C99" s="30">
        <v>4000</v>
      </c>
      <c r="D99" s="52">
        <v>46082</v>
      </c>
      <c r="F99" s="50"/>
      <c r="H99" s="50"/>
      <c r="L99" s="30"/>
    </row>
    <row r="100" spans="1:19" s="23" customFormat="1" ht="13" x14ac:dyDescent="0.3">
      <c r="A100" s="28" t="s">
        <v>31</v>
      </c>
      <c r="B100" s="49" t="s">
        <v>32</v>
      </c>
      <c r="C100" s="30">
        <v>2000</v>
      </c>
      <c r="D100" s="52">
        <v>46082</v>
      </c>
      <c r="E100" s="28"/>
      <c r="F100" s="28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3"/>
    </row>
    <row r="101" spans="1:19" s="23" customFormat="1" ht="13" x14ac:dyDescent="0.3">
      <c r="A101" s="28" t="s">
        <v>34</v>
      </c>
      <c r="B101" s="49" t="s">
        <v>32</v>
      </c>
      <c r="C101" s="30">
        <v>2500</v>
      </c>
      <c r="D101" s="52" t="s">
        <v>35</v>
      </c>
      <c r="E101" s="28"/>
      <c r="F101" s="28"/>
      <c r="G101" s="53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3"/>
    </row>
    <row r="102" spans="1:19" s="23" customFormat="1" ht="13" x14ac:dyDescent="0.3">
      <c r="A102" s="28"/>
      <c r="B102" s="49"/>
      <c r="C102" s="30"/>
      <c r="D102" s="52"/>
      <c r="E102" s="28"/>
      <c r="F102" s="28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3"/>
    </row>
    <row r="103" spans="1:19" s="23" customFormat="1" ht="13" x14ac:dyDescent="0.3">
      <c r="A103" s="28"/>
      <c r="B103" s="49"/>
      <c r="C103" s="30"/>
      <c r="D103" s="52"/>
      <c r="E103" s="28"/>
      <c r="F103" s="28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3"/>
    </row>
    <row r="104" spans="1:19" s="23" customFormat="1" ht="13" x14ac:dyDescent="0.3">
      <c r="A104" s="28"/>
      <c r="B104" s="49"/>
      <c r="C104" s="30"/>
      <c r="D104" s="52"/>
      <c r="E104" s="28"/>
      <c r="F104" s="28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3"/>
    </row>
  </sheetData>
  <mergeCells count="2">
    <mergeCell ref="C1:D1"/>
    <mergeCell ref="E1:F1"/>
  </mergeCells>
  <pageMargins left="0.7" right="0.7" top="0.75" bottom="0.75" header="0.3" footer="0.3"/>
  <ignoredErrors>
    <ignoredError sqref="J4:J10 L62:R62" 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979D-F158-4B19-BB08-B26C818BBE6B}">
  <dimension ref="A1:O12"/>
  <sheetViews>
    <sheetView workbookViewId="0">
      <selection activeCell="C19" sqref="C19"/>
    </sheetView>
  </sheetViews>
  <sheetFormatPr defaultRowHeight="14.5" x14ac:dyDescent="0.35"/>
  <cols>
    <col min="1" max="1" width="14.08984375" bestFit="1" customWidth="1"/>
    <col min="3" max="15" width="11.7265625" customWidth="1"/>
  </cols>
  <sheetData>
    <row r="1" spans="1:15" x14ac:dyDescent="0.35">
      <c r="A1" s="2"/>
      <c r="B1" s="24"/>
      <c r="C1" s="2" t="s">
        <v>0</v>
      </c>
      <c r="D1" s="2" t="s">
        <v>0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3"/>
    </row>
    <row r="2" spans="1:15" x14ac:dyDescent="0.35">
      <c r="A2" s="4" t="s">
        <v>15</v>
      </c>
      <c r="B2" s="24" t="s">
        <v>20</v>
      </c>
      <c r="C2" s="4">
        <v>45931</v>
      </c>
      <c r="D2" s="4">
        <v>45962</v>
      </c>
      <c r="E2" s="4">
        <v>45992</v>
      </c>
      <c r="F2" s="4">
        <v>46023</v>
      </c>
      <c r="G2" s="4">
        <v>46054</v>
      </c>
      <c r="H2" s="4">
        <v>46082</v>
      </c>
      <c r="I2" s="4">
        <v>46113</v>
      </c>
      <c r="J2" s="4">
        <v>46143</v>
      </c>
      <c r="K2" s="4">
        <v>46174</v>
      </c>
      <c r="L2" s="4">
        <v>46204</v>
      </c>
      <c r="M2" s="4">
        <v>46235</v>
      </c>
      <c r="N2" s="4">
        <v>46266</v>
      </c>
      <c r="O2" s="5" t="s">
        <v>2</v>
      </c>
    </row>
    <row r="3" spans="1:15" x14ac:dyDescent="0.35">
      <c r="A3" s="29"/>
      <c r="B3" s="57">
        <f>12000/12</f>
        <v>1000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2"/>
    </row>
    <row r="4" spans="1:15" x14ac:dyDescent="0.35">
      <c r="A4" s="29"/>
      <c r="B4" s="5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32"/>
    </row>
    <row r="5" spans="1:15" x14ac:dyDescent="0.35">
      <c r="A5" s="28" t="s">
        <v>11</v>
      </c>
      <c r="B5" s="41">
        <v>0.3</v>
      </c>
      <c r="C5" s="30">
        <f>$B$3*$B5</f>
        <v>300</v>
      </c>
      <c r="D5" s="30">
        <f t="shared" ref="D5:N9" si="0">$B$3*$B5</f>
        <v>300</v>
      </c>
      <c r="E5" s="30">
        <f t="shared" si="0"/>
        <v>300</v>
      </c>
      <c r="F5" s="30">
        <f t="shared" si="0"/>
        <v>300</v>
      </c>
      <c r="G5" s="30">
        <f t="shared" si="0"/>
        <v>300</v>
      </c>
      <c r="H5" s="30">
        <f t="shared" si="0"/>
        <v>300</v>
      </c>
      <c r="I5" s="30">
        <f t="shared" si="0"/>
        <v>300</v>
      </c>
      <c r="J5" s="30">
        <f t="shared" si="0"/>
        <v>300</v>
      </c>
      <c r="K5" s="30">
        <f t="shared" si="0"/>
        <v>300</v>
      </c>
      <c r="L5" s="30">
        <f t="shared" si="0"/>
        <v>300</v>
      </c>
      <c r="M5" s="30">
        <f t="shared" si="0"/>
        <v>300</v>
      </c>
      <c r="N5" s="30">
        <f t="shared" si="0"/>
        <v>300</v>
      </c>
      <c r="O5" s="33">
        <f>SUM(C5:N5)</f>
        <v>3600</v>
      </c>
    </row>
    <row r="6" spans="1:15" x14ac:dyDescent="0.35">
      <c r="A6" s="28" t="s">
        <v>17</v>
      </c>
      <c r="B6" s="41">
        <v>0.3</v>
      </c>
      <c r="C6" s="30">
        <f t="shared" ref="C6:C9" si="1">$B$3*$B6</f>
        <v>300</v>
      </c>
      <c r="D6" s="30">
        <f t="shared" si="0"/>
        <v>300</v>
      </c>
      <c r="E6" s="30">
        <f t="shared" si="0"/>
        <v>300</v>
      </c>
      <c r="F6" s="30">
        <f t="shared" si="0"/>
        <v>300</v>
      </c>
      <c r="G6" s="30">
        <f t="shared" si="0"/>
        <v>300</v>
      </c>
      <c r="H6" s="30">
        <f t="shared" si="0"/>
        <v>300</v>
      </c>
      <c r="I6" s="30">
        <f t="shared" si="0"/>
        <v>300</v>
      </c>
      <c r="J6" s="30">
        <f t="shared" si="0"/>
        <v>300</v>
      </c>
      <c r="K6" s="30">
        <f t="shared" si="0"/>
        <v>300</v>
      </c>
      <c r="L6" s="30">
        <f t="shared" si="0"/>
        <v>300</v>
      </c>
      <c r="M6" s="30">
        <f t="shared" si="0"/>
        <v>300</v>
      </c>
      <c r="N6" s="30">
        <f t="shared" si="0"/>
        <v>300</v>
      </c>
      <c r="O6" s="33">
        <f t="shared" ref="O6:O9" si="2">SUM(C6:N6)</f>
        <v>3600</v>
      </c>
    </row>
    <row r="7" spans="1:15" x14ac:dyDescent="0.35">
      <c r="A7" s="28" t="s">
        <v>18</v>
      </c>
      <c r="B7" s="41">
        <f>0.4/3</f>
        <v>0.13333333333333333</v>
      </c>
      <c r="C7" s="30">
        <f t="shared" si="1"/>
        <v>133.33333333333334</v>
      </c>
      <c r="D7" s="30">
        <f t="shared" si="0"/>
        <v>133.33333333333334</v>
      </c>
      <c r="E7" s="30">
        <f t="shared" si="0"/>
        <v>133.33333333333334</v>
      </c>
      <c r="F7" s="30">
        <f t="shared" si="0"/>
        <v>133.33333333333334</v>
      </c>
      <c r="G7" s="30">
        <f t="shared" si="0"/>
        <v>133.33333333333334</v>
      </c>
      <c r="H7" s="30">
        <f t="shared" si="0"/>
        <v>133.33333333333334</v>
      </c>
      <c r="I7" s="30">
        <f t="shared" si="0"/>
        <v>133.33333333333334</v>
      </c>
      <c r="J7" s="30">
        <f t="shared" si="0"/>
        <v>133.33333333333334</v>
      </c>
      <c r="K7" s="30">
        <f t="shared" si="0"/>
        <v>133.33333333333334</v>
      </c>
      <c r="L7" s="30">
        <f t="shared" si="0"/>
        <v>133.33333333333334</v>
      </c>
      <c r="M7" s="30">
        <f t="shared" si="0"/>
        <v>133.33333333333334</v>
      </c>
      <c r="N7" s="30">
        <f t="shared" si="0"/>
        <v>133.33333333333334</v>
      </c>
      <c r="O7" s="33">
        <f t="shared" si="2"/>
        <v>1599.9999999999998</v>
      </c>
    </row>
    <row r="8" spans="1:15" x14ac:dyDescent="0.35">
      <c r="A8" s="28" t="s">
        <v>14</v>
      </c>
      <c r="B8" s="41">
        <f t="shared" ref="B8:B9" si="3">0.4/3</f>
        <v>0.13333333333333333</v>
      </c>
      <c r="C8" s="30">
        <f t="shared" si="1"/>
        <v>133.33333333333334</v>
      </c>
      <c r="D8" s="30">
        <f t="shared" si="0"/>
        <v>133.33333333333334</v>
      </c>
      <c r="E8" s="30">
        <f t="shared" si="0"/>
        <v>133.33333333333334</v>
      </c>
      <c r="F8" s="30">
        <f t="shared" si="0"/>
        <v>133.33333333333334</v>
      </c>
      <c r="G8" s="30">
        <f t="shared" si="0"/>
        <v>133.33333333333334</v>
      </c>
      <c r="H8" s="30">
        <f t="shared" si="0"/>
        <v>133.33333333333334</v>
      </c>
      <c r="I8" s="30">
        <f t="shared" si="0"/>
        <v>133.33333333333334</v>
      </c>
      <c r="J8" s="30">
        <f t="shared" si="0"/>
        <v>133.33333333333334</v>
      </c>
      <c r="K8" s="30">
        <f t="shared" si="0"/>
        <v>133.33333333333334</v>
      </c>
      <c r="L8" s="30">
        <f t="shared" si="0"/>
        <v>133.33333333333334</v>
      </c>
      <c r="M8" s="30">
        <f t="shared" si="0"/>
        <v>133.33333333333334</v>
      </c>
      <c r="N8" s="30">
        <f t="shared" si="0"/>
        <v>133.33333333333334</v>
      </c>
      <c r="O8" s="33">
        <f t="shared" si="2"/>
        <v>1599.9999999999998</v>
      </c>
    </row>
    <row r="9" spans="1:15" x14ac:dyDescent="0.35">
      <c r="A9" s="28" t="s">
        <v>19</v>
      </c>
      <c r="B9" s="41">
        <f t="shared" si="3"/>
        <v>0.13333333333333333</v>
      </c>
      <c r="C9" s="30">
        <f t="shared" si="1"/>
        <v>133.33333333333334</v>
      </c>
      <c r="D9" s="30">
        <f t="shared" si="0"/>
        <v>133.33333333333334</v>
      </c>
      <c r="E9" s="30">
        <f t="shared" si="0"/>
        <v>133.33333333333334</v>
      </c>
      <c r="F9" s="30">
        <f t="shared" si="0"/>
        <v>133.33333333333334</v>
      </c>
      <c r="G9" s="30">
        <f t="shared" si="0"/>
        <v>133.33333333333334</v>
      </c>
      <c r="H9" s="30">
        <f t="shared" si="0"/>
        <v>133.33333333333334</v>
      </c>
      <c r="I9" s="30">
        <f t="shared" si="0"/>
        <v>133.33333333333334</v>
      </c>
      <c r="J9" s="30">
        <f t="shared" si="0"/>
        <v>133.33333333333334</v>
      </c>
      <c r="K9" s="30">
        <f t="shared" si="0"/>
        <v>133.33333333333334</v>
      </c>
      <c r="L9" s="30">
        <f t="shared" si="0"/>
        <v>133.33333333333334</v>
      </c>
      <c r="M9" s="30">
        <f t="shared" si="0"/>
        <v>133.33333333333334</v>
      </c>
      <c r="N9" s="30">
        <f t="shared" si="0"/>
        <v>133.33333333333334</v>
      </c>
      <c r="O9" s="33">
        <f t="shared" si="2"/>
        <v>1599.9999999999998</v>
      </c>
    </row>
    <row r="10" spans="1:15" x14ac:dyDescent="0.35">
      <c r="A10" s="28"/>
      <c r="B10" s="31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32"/>
    </row>
    <row r="11" spans="1:15" ht="15" thickBot="1" x14ac:dyDescent="0.4">
      <c r="A11" s="36" t="s">
        <v>6</v>
      </c>
      <c r="B11" s="37"/>
      <c r="C11" s="38">
        <f t="shared" ref="C11:O11" si="4">SUM(C5:C10)</f>
        <v>1000.0000000000001</v>
      </c>
      <c r="D11" s="38">
        <f t="shared" si="4"/>
        <v>1000.0000000000001</v>
      </c>
      <c r="E11" s="38">
        <f t="shared" si="4"/>
        <v>1000.0000000000001</v>
      </c>
      <c r="F11" s="38">
        <f t="shared" si="4"/>
        <v>1000.0000000000001</v>
      </c>
      <c r="G11" s="38">
        <f t="shared" si="4"/>
        <v>1000.0000000000001</v>
      </c>
      <c r="H11" s="38">
        <f t="shared" si="4"/>
        <v>1000.0000000000001</v>
      </c>
      <c r="I11" s="38">
        <f t="shared" si="4"/>
        <v>1000.0000000000001</v>
      </c>
      <c r="J11" s="38">
        <f t="shared" si="4"/>
        <v>1000.0000000000001</v>
      </c>
      <c r="K11" s="38">
        <f t="shared" si="4"/>
        <v>1000.0000000000001</v>
      </c>
      <c r="L11" s="38">
        <f t="shared" si="4"/>
        <v>1000.0000000000001</v>
      </c>
      <c r="M11" s="38">
        <f t="shared" si="4"/>
        <v>1000.0000000000001</v>
      </c>
      <c r="N11" s="38">
        <f t="shared" si="4"/>
        <v>1000.0000000000001</v>
      </c>
      <c r="O11" s="39">
        <f t="shared" si="4"/>
        <v>12000</v>
      </c>
    </row>
    <row r="12" spans="1:15" ht="15" thickTop="1" x14ac:dyDescent="0.35">
      <c r="A12" s="28"/>
      <c r="B12" s="31"/>
      <c r="C12" s="28"/>
      <c r="D12" s="28"/>
      <c r="E12" s="28"/>
      <c r="F12" s="42"/>
      <c r="G12" s="28"/>
      <c r="H12" s="28"/>
      <c r="I12" s="28"/>
      <c r="J12" s="28"/>
      <c r="K12" s="28"/>
      <c r="L12" s="28"/>
      <c r="M12" s="28"/>
      <c r="N12" s="28"/>
      <c r="O12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5AB9-CF8B-45B8-9F59-3C30BFDA5A76}">
  <dimension ref="A1:S104"/>
  <sheetViews>
    <sheetView topLeftCell="A61" workbookViewId="0">
      <selection activeCell="G88" sqref="G88"/>
    </sheetView>
  </sheetViews>
  <sheetFormatPr defaultRowHeight="14.5" x14ac:dyDescent="0.35"/>
  <cols>
    <col min="1" max="1" width="18.26953125" customWidth="1"/>
    <col min="2" max="2" width="21.08984375" style="25" customWidth="1"/>
    <col min="3" max="3" width="11" bestFit="1" customWidth="1"/>
    <col min="4" max="4" width="10.81640625" bestFit="1" customWidth="1"/>
    <col min="5" max="5" width="11" bestFit="1" customWidth="1"/>
    <col min="6" max="6" width="10.81640625" bestFit="1" customWidth="1"/>
    <col min="7" max="18" width="9" bestFit="1" customWidth="1"/>
    <col min="19" max="19" width="9.36328125" style="35" bestFit="1" customWidth="1"/>
  </cols>
  <sheetData>
    <row r="1" spans="1:19" x14ac:dyDescent="0.35">
      <c r="A1" s="2"/>
      <c r="B1" s="24"/>
      <c r="C1" s="143" t="s">
        <v>23</v>
      </c>
      <c r="D1" s="144"/>
      <c r="E1" s="143" t="s">
        <v>26</v>
      </c>
      <c r="F1" s="144"/>
      <c r="G1" s="2" t="s">
        <v>0</v>
      </c>
      <c r="H1" s="2" t="s">
        <v>0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3"/>
    </row>
    <row r="2" spans="1:19" x14ac:dyDescent="0.35">
      <c r="A2" s="4" t="s">
        <v>15</v>
      </c>
      <c r="B2" s="24" t="s">
        <v>20</v>
      </c>
      <c r="C2" s="4" t="s">
        <v>21</v>
      </c>
      <c r="D2" s="4" t="s">
        <v>22</v>
      </c>
      <c r="E2" s="4" t="s">
        <v>27</v>
      </c>
      <c r="F2" s="4" t="s">
        <v>22</v>
      </c>
      <c r="G2" s="4">
        <v>45931</v>
      </c>
      <c r="H2" s="4">
        <v>45962</v>
      </c>
      <c r="I2" s="4">
        <v>45992</v>
      </c>
      <c r="J2" s="4">
        <v>46023</v>
      </c>
      <c r="K2" s="4">
        <v>46054</v>
      </c>
      <c r="L2" s="4">
        <v>46082</v>
      </c>
      <c r="M2" s="4">
        <v>46113</v>
      </c>
      <c r="N2" s="4">
        <v>46143</v>
      </c>
      <c r="O2" s="4">
        <v>46174</v>
      </c>
      <c r="P2" s="4">
        <v>46204</v>
      </c>
      <c r="Q2" s="4">
        <v>46235</v>
      </c>
      <c r="R2" s="4">
        <v>46266</v>
      </c>
      <c r="S2" s="5" t="s">
        <v>2</v>
      </c>
    </row>
    <row r="3" spans="1:19" s="23" customFormat="1" ht="13" x14ac:dyDescent="0.3">
      <c r="A3" s="29" t="s">
        <v>16</v>
      </c>
      <c r="B3" s="31"/>
      <c r="C3" s="30">
        <v>38000</v>
      </c>
      <c r="D3" s="30">
        <f>C3*0.188</f>
        <v>7144</v>
      </c>
      <c r="E3" s="30">
        <v>2000</v>
      </c>
      <c r="F3" s="30">
        <f>E3*0.188</f>
        <v>376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32"/>
    </row>
    <row r="4" spans="1:19" s="23" customFormat="1" ht="13" x14ac:dyDescent="0.3">
      <c r="A4" s="28" t="s">
        <v>11</v>
      </c>
      <c r="B4" s="41">
        <v>0.25</v>
      </c>
      <c r="C4" s="28"/>
      <c r="D4" s="28"/>
      <c r="E4" s="28"/>
      <c r="F4" s="28"/>
      <c r="G4" s="30">
        <f>SUM($C$3:$D$3)/12*$B4</f>
        <v>940.5</v>
      </c>
      <c r="H4" s="30">
        <f t="shared" ref="H4:R4" si="0">SUM($C$3:$D$3)/12*$B4</f>
        <v>940.5</v>
      </c>
      <c r="I4" s="30">
        <f t="shared" si="0"/>
        <v>940.5</v>
      </c>
      <c r="J4" s="30">
        <f>SUM($C$3:$D$3)/12*$B4+SUM($E$3:$F$3)*$B4</f>
        <v>1534.5</v>
      </c>
      <c r="K4" s="30">
        <f t="shared" si="0"/>
        <v>940.5</v>
      </c>
      <c r="L4" s="30">
        <f t="shared" si="0"/>
        <v>940.5</v>
      </c>
      <c r="M4" s="30">
        <f t="shared" si="0"/>
        <v>940.5</v>
      </c>
      <c r="N4" s="30">
        <f t="shared" si="0"/>
        <v>940.5</v>
      </c>
      <c r="O4" s="30">
        <f t="shared" si="0"/>
        <v>940.5</v>
      </c>
      <c r="P4" s="30">
        <f t="shared" si="0"/>
        <v>940.5</v>
      </c>
      <c r="Q4" s="30">
        <f t="shared" si="0"/>
        <v>940.5</v>
      </c>
      <c r="R4" s="30">
        <f t="shared" si="0"/>
        <v>940.5</v>
      </c>
      <c r="S4" s="33">
        <f>SUM(G4:R4)</f>
        <v>11880</v>
      </c>
    </row>
    <row r="5" spans="1:19" s="23" customFormat="1" ht="13" x14ac:dyDescent="0.3">
      <c r="A5" s="28" t="s">
        <v>12</v>
      </c>
      <c r="B5" s="41">
        <v>2.5000000000000001E-2</v>
      </c>
      <c r="C5" s="28"/>
      <c r="D5" s="28"/>
      <c r="E5" s="28"/>
      <c r="F5" s="28"/>
      <c r="G5" s="30">
        <f t="shared" ref="G5:R10" si="1">SUM($C$3:$D$3)/12*$B5</f>
        <v>94.050000000000011</v>
      </c>
      <c r="H5" s="30">
        <f t="shared" si="1"/>
        <v>94.050000000000011</v>
      </c>
      <c r="I5" s="30">
        <f t="shared" si="1"/>
        <v>94.050000000000011</v>
      </c>
      <c r="J5" s="30">
        <f t="shared" ref="J5:J10" si="2">SUM($C$3:$D$3)/12*$B5+SUM($E$3:$F$3)*$B5</f>
        <v>153.45000000000002</v>
      </c>
      <c r="K5" s="30">
        <f t="shared" si="1"/>
        <v>94.050000000000011</v>
      </c>
      <c r="L5" s="30">
        <f t="shared" si="1"/>
        <v>94.050000000000011</v>
      </c>
      <c r="M5" s="30">
        <f t="shared" si="1"/>
        <v>94.050000000000011</v>
      </c>
      <c r="N5" s="30">
        <f t="shared" si="1"/>
        <v>94.050000000000011</v>
      </c>
      <c r="O5" s="30">
        <f t="shared" si="1"/>
        <v>94.050000000000011</v>
      </c>
      <c r="P5" s="30">
        <f t="shared" si="1"/>
        <v>94.050000000000011</v>
      </c>
      <c r="Q5" s="30">
        <f t="shared" si="1"/>
        <v>94.050000000000011</v>
      </c>
      <c r="R5" s="30">
        <f t="shared" si="1"/>
        <v>94.050000000000011</v>
      </c>
      <c r="S5" s="33">
        <f t="shared" ref="S5:S10" si="3">SUM(G5:R5)</f>
        <v>1187.9999999999998</v>
      </c>
    </row>
    <row r="6" spans="1:19" s="23" customFormat="1" ht="13" x14ac:dyDescent="0.3">
      <c r="A6" s="28" t="s">
        <v>14</v>
      </c>
      <c r="B6" s="41">
        <v>0.25</v>
      </c>
      <c r="C6" s="28"/>
      <c r="D6" s="28"/>
      <c r="E6" s="28"/>
      <c r="F6" s="28"/>
      <c r="G6" s="30">
        <f t="shared" si="1"/>
        <v>940.5</v>
      </c>
      <c r="H6" s="30">
        <f t="shared" si="1"/>
        <v>940.5</v>
      </c>
      <c r="I6" s="30">
        <f t="shared" si="1"/>
        <v>940.5</v>
      </c>
      <c r="J6" s="30">
        <f t="shared" si="2"/>
        <v>1534.5</v>
      </c>
      <c r="K6" s="30">
        <f t="shared" si="1"/>
        <v>940.5</v>
      </c>
      <c r="L6" s="30">
        <f t="shared" si="1"/>
        <v>940.5</v>
      </c>
      <c r="M6" s="30">
        <f t="shared" si="1"/>
        <v>940.5</v>
      </c>
      <c r="N6" s="30">
        <f t="shared" si="1"/>
        <v>940.5</v>
      </c>
      <c r="O6" s="30">
        <f t="shared" si="1"/>
        <v>940.5</v>
      </c>
      <c r="P6" s="30">
        <f t="shared" si="1"/>
        <v>940.5</v>
      </c>
      <c r="Q6" s="30">
        <f t="shared" si="1"/>
        <v>940.5</v>
      </c>
      <c r="R6" s="30">
        <f t="shared" si="1"/>
        <v>940.5</v>
      </c>
      <c r="S6" s="33">
        <f t="shared" si="3"/>
        <v>11880</v>
      </c>
    </row>
    <row r="7" spans="1:19" s="23" customFormat="1" ht="13" x14ac:dyDescent="0.3">
      <c r="A7" s="28" t="s">
        <v>17</v>
      </c>
      <c r="B7" s="41">
        <v>0.25</v>
      </c>
      <c r="C7" s="28"/>
      <c r="D7" s="28"/>
      <c r="E7" s="28"/>
      <c r="F7" s="28"/>
      <c r="G7" s="30">
        <f t="shared" si="1"/>
        <v>940.5</v>
      </c>
      <c r="H7" s="30">
        <f t="shared" si="1"/>
        <v>940.5</v>
      </c>
      <c r="I7" s="30">
        <f t="shared" si="1"/>
        <v>940.5</v>
      </c>
      <c r="J7" s="30">
        <f t="shared" si="2"/>
        <v>1534.5</v>
      </c>
      <c r="K7" s="30">
        <f t="shared" si="1"/>
        <v>940.5</v>
      </c>
      <c r="L7" s="30">
        <f t="shared" si="1"/>
        <v>940.5</v>
      </c>
      <c r="M7" s="30">
        <f t="shared" si="1"/>
        <v>940.5</v>
      </c>
      <c r="N7" s="30">
        <f t="shared" si="1"/>
        <v>940.5</v>
      </c>
      <c r="O7" s="30">
        <f t="shared" si="1"/>
        <v>940.5</v>
      </c>
      <c r="P7" s="30">
        <f t="shared" si="1"/>
        <v>940.5</v>
      </c>
      <c r="Q7" s="30">
        <f t="shared" si="1"/>
        <v>940.5</v>
      </c>
      <c r="R7" s="30">
        <f t="shared" si="1"/>
        <v>940.5</v>
      </c>
      <c r="S7" s="33">
        <f t="shared" si="3"/>
        <v>11880</v>
      </c>
    </row>
    <row r="8" spans="1:19" s="23" customFormat="1" ht="13" x14ac:dyDescent="0.3">
      <c r="A8" s="28" t="s">
        <v>18</v>
      </c>
      <c r="B8" s="41">
        <v>0.05</v>
      </c>
      <c r="C8" s="28"/>
      <c r="D8" s="28"/>
      <c r="E8" s="28"/>
      <c r="F8" s="28"/>
      <c r="G8" s="30">
        <f t="shared" si="1"/>
        <v>188.10000000000002</v>
      </c>
      <c r="H8" s="30">
        <f t="shared" si="1"/>
        <v>188.10000000000002</v>
      </c>
      <c r="I8" s="30">
        <f t="shared" si="1"/>
        <v>188.10000000000002</v>
      </c>
      <c r="J8" s="30">
        <f t="shared" si="2"/>
        <v>306.90000000000003</v>
      </c>
      <c r="K8" s="30">
        <f t="shared" si="1"/>
        <v>188.10000000000002</v>
      </c>
      <c r="L8" s="30">
        <f t="shared" si="1"/>
        <v>188.10000000000002</v>
      </c>
      <c r="M8" s="30">
        <f t="shared" si="1"/>
        <v>188.10000000000002</v>
      </c>
      <c r="N8" s="30">
        <f t="shared" si="1"/>
        <v>188.10000000000002</v>
      </c>
      <c r="O8" s="30">
        <f t="shared" si="1"/>
        <v>188.10000000000002</v>
      </c>
      <c r="P8" s="30">
        <f t="shared" si="1"/>
        <v>188.10000000000002</v>
      </c>
      <c r="Q8" s="30">
        <f t="shared" si="1"/>
        <v>188.10000000000002</v>
      </c>
      <c r="R8" s="30">
        <f t="shared" si="1"/>
        <v>188.10000000000002</v>
      </c>
      <c r="S8" s="33">
        <f t="shared" si="3"/>
        <v>2375.9999999999995</v>
      </c>
    </row>
    <row r="9" spans="1:19" s="23" customFormat="1" ht="13" x14ac:dyDescent="0.3">
      <c r="A9" s="28" t="s">
        <v>19</v>
      </c>
      <c r="B9" s="41">
        <v>0.1</v>
      </c>
      <c r="C9" s="28"/>
      <c r="D9" s="28"/>
      <c r="E9" s="28"/>
      <c r="F9" s="28"/>
      <c r="G9" s="30">
        <f t="shared" si="1"/>
        <v>376.20000000000005</v>
      </c>
      <c r="H9" s="30">
        <f t="shared" si="1"/>
        <v>376.20000000000005</v>
      </c>
      <c r="I9" s="30">
        <f t="shared" si="1"/>
        <v>376.20000000000005</v>
      </c>
      <c r="J9" s="30">
        <f t="shared" si="2"/>
        <v>613.80000000000007</v>
      </c>
      <c r="K9" s="30">
        <f t="shared" si="1"/>
        <v>376.20000000000005</v>
      </c>
      <c r="L9" s="30">
        <f t="shared" si="1"/>
        <v>376.20000000000005</v>
      </c>
      <c r="M9" s="30">
        <f t="shared" si="1"/>
        <v>376.20000000000005</v>
      </c>
      <c r="N9" s="30">
        <f t="shared" si="1"/>
        <v>376.20000000000005</v>
      </c>
      <c r="O9" s="30">
        <f t="shared" si="1"/>
        <v>376.20000000000005</v>
      </c>
      <c r="P9" s="30">
        <f t="shared" si="1"/>
        <v>376.20000000000005</v>
      </c>
      <c r="Q9" s="30">
        <f t="shared" si="1"/>
        <v>376.20000000000005</v>
      </c>
      <c r="R9" s="30">
        <f t="shared" si="1"/>
        <v>376.20000000000005</v>
      </c>
      <c r="S9" s="33">
        <f t="shared" si="3"/>
        <v>4751.9999999999991</v>
      </c>
    </row>
    <row r="10" spans="1:19" s="23" customFormat="1" ht="13" x14ac:dyDescent="0.3">
      <c r="A10" s="28" t="s">
        <v>24</v>
      </c>
      <c r="B10" s="41">
        <v>7.4999999999999997E-2</v>
      </c>
      <c r="C10" s="28"/>
      <c r="D10" s="28"/>
      <c r="E10" s="28"/>
      <c r="F10" s="28"/>
      <c r="G10" s="30">
        <f t="shared" si="1"/>
        <v>282.14999999999998</v>
      </c>
      <c r="H10" s="30">
        <f t="shared" si="1"/>
        <v>282.14999999999998</v>
      </c>
      <c r="I10" s="30">
        <f t="shared" si="1"/>
        <v>282.14999999999998</v>
      </c>
      <c r="J10" s="30">
        <f t="shared" si="2"/>
        <v>460.34999999999997</v>
      </c>
      <c r="K10" s="30">
        <f t="shared" si="1"/>
        <v>282.14999999999998</v>
      </c>
      <c r="L10" s="30">
        <f t="shared" si="1"/>
        <v>282.14999999999998</v>
      </c>
      <c r="M10" s="30">
        <f t="shared" si="1"/>
        <v>282.14999999999998</v>
      </c>
      <c r="N10" s="30">
        <f t="shared" si="1"/>
        <v>282.14999999999998</v>
      </c>
      <c r="O10" s="30">
        <f t="shared" si="1"/>
        <v>282.14999999999998</v>
      </c>
      <c r="P10" s="30">
        <f t="shared" si="1"/>
        <v>282.14999999999998</v>
      </c>
      <c r="Q10" s="30">
        <f t="shared" si="1"/>
        <v>282.14999999999998</v>
      </c>
      <c r="R10" s="30">
        <f t="shared" si="1"/>
        <v>282.14999999999998</v>
      </c>
      <c r="S10" s="33">
        <f t="shared" si="3"/>
        <v>3564.0000000000005</v>
      </c>
    </row>
    <row r="11" spans="1:19" s="23" customFormat="1" ht="13" x14ac:dyDescent="0.3">
      <c r="A11" s="28"/>
      <c r="B11" s="31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32"/>
    </row>
    <row r="12" spans="1:19" s="40" customFormat="1" ht="13.5" thickBot="1" x14ac:dyDescent="0.35">
      <c r="A12" s="36" t="s">
        <v>6</v>
      </c>
      <c r="B12" s="37"/>
      <c r="C12" s="36"/>
      <c r="D12" s="36"/>
      <c r="E12" s="36"/>
      <c r="F12" s="36"/>
      <c r="G12" s="38">
        <f>SUM(G4:G11)</f>
        <v>3762.0000000000005</v>
      </c>
      <c r="H12" s="38">
        <f t="shared" ref="H12:S12" si="4">SUM(H4:H11)</f>
        <v>3762.0000000000005</v>
      </c>
      <c r="I12" s="38">
        <f t="shared" si="4"/>
        <v>3762.0000000000005</v>
      </c>
      <c r="J12" s="38">
        <f t="shared" si="4"/>
        <v>6138</v>
      </c>
      <c r="K12" s="38">
        <f t="shared" si="4"/>
        <v>3762.0000000000005</v>
      </c>
      <c r="L12" s="38">
        <f t="shared" si="4"/>
        <v>3762.0000000000005</v>
      </c>
      <c r="M12" s="38">
        <f t="shared" si="4"/>
        <v>3762.0000000000005</v>
      </c>
      <c r="N12" s="38">
        <f t="shared" si="4"/>
        <v>3762.0000000000005</v>
      </c>
      <c r="O12" s="38">
        <f t="shared" si="4"/>
        <v>3762.0000000000005</v>
      </c>
      <c r="P12" s="38">
        <f t="shared" si="4"/>
        <v>3762.0000000000005</v>
      </c>
      <c r="Q12" s="38">
        <f t="shared" si="4"/>
        <v>3762.0000000000005</v>
      </c>
      <c r="R12" s="38">
        <f t="shared" si="4"/>
        <v>3762.0000000000005</v>
      </c>
      <c r="S12" s="39">
        <f t="shared" si="4"/>
        <v>47520</v>
      </c>
    </row>
    <row r="13" spans="1:19" s="23" customFormat="1" ht="13.5" thickTop="1" x14ac:dyDescent="0.3">
      <c r="A13" s="28"/>
      <c r="B13" s="31"/>
      <c r="C13" s="28"/>
      <c r="D13" s="28"/>
      <c r="E13" s="28"/>
      <c r="F13" s="28"/>
      <c r="G13" s="28"/>
      <c r="H13" s="28"/>
      <c r="I13" s="28"/>
      <c r="J13" s="42"/>
      <c r="K13" s="28"/>
      <c r="L13" s="28"/>
      <c r="M13" s="28"/>
      <c r="N13" s="28"/>
      <c r="O13" s="28"/>
      <c r="P13" s="28"/>
      <c r="Q13" s="28"/>
      <c r="R13" s="28"/>
      <c r="S13" s="34">
        <f>S12-F3-E3-D3-C3</f>
        <v>0</v>
      </c>
    </row>
    <row r="14" spans="1:19" s="23" customFormat="1" ht="13" x14ac:dyDescent="0.3">
      <c r="A14" s="29" t="s">
        <v>25</v>
      </c>
      <c r="B14" s="31"/>
      <c r="C14" s="30">
        <v>25000</v>
      </c>
      <c r="D14" s="30">
        <f>C14*0.188</f>
        <v>4700</v>
      </c>
      <c r="E14" s="30"/>
      <c r="F14" s="30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32"/>
    </row>
    <row r="15" spans="1:19" s="23" customFormat="1" ht="13" x14ac:dyDescent="0.3">
      <c r="A15" s="28" t="s">
        <v>11</v>
      </c>
      <c r="B15" s="41">
        <v>0.3</v>
      </c>
      <c r="C15" s="28"/>
      <c r="D15" s="28"/>
      <c r="E15" s="28"/>
      <c r="F15" s="28"/>
      <c r="G15" s="30">
        <f>SUM($C$14:$D$14)/12*$B15</f>
        <v>742.5</v>
      </c>
      <c r="H15" s="30">
        <f t="shared" ref="H15:R15" si="5">SUM($C$14:$D$14)/12*$B15</f>
        <v>742.5</v>
      </c>
      <c r="I15" s="30">
        <f t="shared" si="5"/>
        <v>742.5</v>
      </c>
      <c r="J15" s="30">
        <f t="shared" si="5"/>
        <v>742.5</v>
      </c>
      <c r="K15" s="30">
        <f t="shared" si="5"/>
        <v>742.5</v>
      </c>
      <c r="L15" s="30">
        <f t="shared" si="5"/>
        <v>742.5</v>
      </c>
      <c r="M15" s="30">
        <f t="shared" si="5"/>
        <v>742.5</v>
      </c>
      <c r="N15" s="30">
        <f t="shared" si="5"/>
        <v>742.5</v>
      </c>
      <c r="O15" s="30">
        <f t="shared" si="5"/>
        <v>742.5</v>
      </c>
      <c r="P15" s="30">
        <f t="shared" si="5"/>
        <v>742.5</v>
      </c>
      <c r="Q15" s="30">
        <f t="shared" si="5"/>
        <v>742.5</v>
      </c>
      <c r="R15" s="30">
        <f t="shared" si="5"/>
        <v>742.5</v>
      </c>
      <c r="S15" s="33">
        <f>SUM(G15:R15)</f>
        <v>8910</v>
      </c>
    </row>
    <row r="16" spans="1:19" s="23" customFormat="1" ht="13" x14ac:dyDescent="0.3">
      <c r="A16" s="28" t="s">
        <v>12</v>
      </c>
      <c r="B16" s="41">
        <v>0</v>
      </c>
      <c r="C16" s="28"/>
      <c r="D16" s="28"/>
      <c r="E16" s="28"/>
      <c r="F16" s="28"/>
      <c r="G16" s="30">
        <f t="shared" ref="G16:R21" si="6">SUM($C$14:$D$14)/12*$B16</f>
        <v>0</v>
      </c>
      <c r="H16" s="30">
        <f t="shared" si="6"/>
        <v>0</v>
      </c>
      <c r="I16" s="30">
        <f t="shared" si="6"/>
        <v>0</v>
      </c>
      <c r="J16" s="30">
        <f t="shared" si="6"/>
        <v>0</v>
      </c>
      <c r="K16" s="30">
        <f t="shared" si="6"/>
        <v>0</v>
      </c>
      <c r="L16" s="30">
        <f t="shared" si="6"/>
        <v>0</v>
      </c>
      <c r="M16" s="30">
        <f t="shared" si="6"/>
        <v>0</v>
      </c>
      <c r="N16" s="30">
        <f t="shared" si="6"/>
        <v>0</v>
      </c>
      <c r="O16" s="30">
        <f t="shared" si="6"/>
        <v>0</v>
      </c>
      <c r="P16" s="30">
        <f t="shared" si="6"/>
        <v>0</v>
      </c>
      <c r="Q16" s="30">
        <f t="shared" si="6"/>
        <v>0</v>
      </c>
      <c r="R16" s="30">
        <f t="shared" si="6"/>
        <v>0</v>
      </c>
      <c r="S16" s="33">
        <f t="shared" ref="S16:S21" si="7">SUM(G16:R16)</f>
        <v>0</v>
      </c>
    </row>
    <row r="17" spans="1:19" s="23" customFormat="1" ht="13" x14ac:dyDescent="0.3">
      <c r="A17" s="28" t="s">
        <v>14</v>
      </c>
      <c r="B17" s="41">
        <v>0.3</v>
      </c>
      <c r="C17" s="28"/>
      <c r="D17" s="28"/>
      <c r="E17" s="28"/>
      <c r="F17" s="28"/>
      <c r="G17" s="30">
        <f t="shared" si="6"/>
        <v>742.5</v>
      </c>
      <c r="H17" s="30">
        <f t="shared" si="6"/>
        <v>742.5</v>
      </c>
      <c r="I17" s="30">
        <f t="shared" si="6"/>
        <v>742.5</v>
      </c>
      <c r="J17" s="30">
        <f t="shared" si="6"/>
        <v>742.5</v>
      </c>
      <c r="K17" s="30">
        <f t="shared" si="6"/>
        <v>742.5</v>
      </c>
      <c r="L17" s="30">
        <f t="shared" si="6"/>
        <v>742.5</v>
      </c>
      <c r="M17" s="30">
        <f t="shared" si="6"/>
        <v>742.5</v>
      </c>
      <c r="N17" s="30">
        <f t="shared" si="6"/>
        <v>742.5</v>
      </c>
      <c r="O17" s="30">
        <f t="shared" si="6"/>
        <v>742.5</v>
      </c>
      <c r="P17" s="30">
        <f t="shared" si="6"/>
        <v>742.5</v>
      </c>
      <c r="Q17" s="30">
        <f t="shared" si="6"/>
        <v>742.5</v>
      </c>
      <c r="R17" s="30">
        <f t="shared" si="6"/>
        <v>742.5</v>
      </c>
      <c r="S17" s="33">
        <f t="shared" si="7"/>
        <v>8910</v>
      </c>
    </row>
    <row r="18" spans="1:19" s="23" customFormat="1" ht="13" x14ac:dyDescent="0.3">
      <c r="A18" s="28" t="s">
        <v>17</v>
      </c>
      <c r="B18" s="41">
        <v>0.17499999999999999</v>
      </c>
      <c r="C18" s="28"/>
      <c r="D18" s="28"/>
      <c r="E18" s="28"/>
      <c r="F18" s="28"/>
      <c r="G18" s="30">
        <f t="shared" si="6"/>
        <v>433.125</v>
      </c>
      <c r="H18" s="30">
        <f t="shared" si="6"/>
        <v>433.125</v>
      </c>
      <c r="I18" s="30">
        <f t="shared" si="6"/>
        <v>433.125</v>
      </c>
      <c r="J18" s="30">
        <f t="shared" si="6"/>
        <v>433.125</v>
      </c>
      <c r="K18" s="30">
        <f t="shared" si="6"/>
        <v>433.125</v>
      </c>
      <c r="L18" s="30">
        <f t="shared" si="6"/>
        <v>433.125</v>
      </c>
      <c r="M18" s="30">
        <f t="shared" si="6"/>
        <v>433.125</v>
      </c>
      <c r="N18" s="30">
        <f t="shared" si="6"/>
        <v>433.125</v>
      </c>
      <c r="O18" s="30">
        <f t="shared" si="6"/>
        <v>433.125</v>
      </c>
      <c r="P18" s="30">
        <f t="shared" si="6"/>
        <v>433.125</v>
      </c>
      <c r="Q18" s="30">
        <f t="shared" si="6"/>
        <v>433.125</v>
      </c>
      <c r="R18" s="30">
        <f t="shared" si="6"/>
        <v>433.125</v>
      </c>
      <c r="S18" s="33">
        <f t="shared" si="7"/>
        <v>5197.5</v>
      </c>
    </row>
    <row r="19" spans="1:19" s="23" customFormat="1" ht="13" x14ac:dyDescent="0.3">
      <c r="A19" s="28" t="s">
        <v>18</v>
      </c>
      <c r="B19" s="41">
        <v>0.17499999999999999</v>
      </c>
      <c r="C19" s="28"/>
      <c r="D19" s="28"/>
      <c r="E19" s="28"/>
      <c r="F19" s="28"/>
      <c r="G19" s="30">
        <f t="shared" si="6"/>
        <v>433.125</v>
      </c>
      <c r="H19" s="30">
        <f t="shared" si="6"/>
        <v>433.125</v>
      </c>
      <c r="I19" s="30">
        <f t="shared" si="6"/>
        <v>433.125</v>
      </c>
      <c r="J19" s="30">
        <f t="shared" si="6"/>
        <v>433.125</v>
      </c>
      <c r="K19" s="30">
        <f t="shared" si="6"/>
        <v>433.125</v>
      </c>
      <c r="L19" s="30">
        <f t="shared" si="6"/>
        <v>433.125</v>
      </c>
      <c r="M19" s="30">
        <f t="shared" si="6"/>
        <v>433.125</v>
      </c>
      <c r="N19" s="30">
        <f t="shared" si="6"/>
        <v>433.125</v>
      </c>
      <c r="O19" s="30">
        <f t="shared" si="6"/>
        <v>433.125</v>
      </c>
      <c r="P19" s="30">
        <f t="shared" si="6"/>
        <v>433.125</v>
      </c>
      <c r="Q19" s="30">
        <f t="shared" si="6"/>
        <v>433.125</v>
      </c>
      <c r="R19" s="30">
        <f t="shared" si="6"/>
        <v>433.125</v>
      </c>
      <c r="S19" s="33">
        <f t="shared" si="7"/>
        <v>5197.5</v>
      </c>
    </row>
    <row r="20" spans="1:19" s="23" customFormat="1" ht="13" x14ac:dyDescent="0.3">
      <c r="A20" s="28" t="s">
        <v>19</v>
      </c>
      <c r="B20" s="41">
        <v>0.05</v>
      </c>
      <c r="C20" s="28"/>
      <c r="D20" s="28"/>
      <c r="E20" s="28"/>
      <c r="F20" s="28"/>
      <c r="G20" s="30">
        <f t="shared" si="6"/>
        <v>123.75</v>
      </c>
      <c r="H20" s="30">
        <f t="shared" si="6"/>
        <v>123.75</v>
      </c>
      <c r="I20" s="30">
        <f t="shared" si="6"/>
        <v>123.75</v>
      </c>
      <c r="J20" s="30">
        <f t="shared" si="6"/>
        <v>123.75</v>
      </c>
      <c r="K20" s="30">
        <f t="shared" si="6"/>
        <v>123.75</v>
      </c>
      <c r="L20" s="30">
        <f t="shared" si="6"/>
        <v>123.75</v>
      </c>
      <c r="M20" s="30">
        <f t="shared" si="6"/>
        <v>123.75</v>
      </c>
      <c r="N20" s="30">
        <f t="shared" si="6"/>
        <v>123.75</v>
      </c>
      <c r="O20" s="30">
        <f t="shared" si="6"/>
        <v>123.75</v>
      </c>
      <c r="P20" s="30">
        <f t="shared" si="6"/>
        <v>123.75</v>
      </c>
      <c r="Q20" s="30">
        <f t="shared" si="6"/>
        <v>123.75</v>
      </c>
      <c r="R20" s="30">
        <f t="shared" si="6"/>
        <v>123.75</v>
      </c>
      <c r="S20" s="33">
        <f t="shared" si="7"/>
        <v>1485</v>
      </c>
    </row>
    <row r="21" spans="1:19" s="23" customFormat="1" ht="13" x14ac:dyDescent="0.3">
      <c r="A21" s="28" t="s">
        <v>24</v>
      </c>
      <c r="B21" s="41">
        <v>0</v>
      </c>
      <c r="C21" s="28"/>
      <c r="D21" s="28"/>
      <c r="E21" s="28"/>
      <c r="F21" s="28"/>
      <c r="G21" s="30">
        <f t="shared" si="6"/>
        <v>0</v>
      </c>
      <c r="H21" s="30">
        <f t="shared" si="6"/>
        <v>0</v>
      </c>
      <c r="I21" s="30">
        <f t="shared" si="6"/>
        <v>0</v>
      </c>
      <c r="J21" s="30">
        <f t="shared" si="6"/>
        <v>0</v>
      </c>
      <c r="K21" s="30">
        <f t="shared" si="6"/>
        <v>0</v>
      </c>
      <c r="L21" s="30">
        <f t="shared" si="6"/>
        <v>0</v>
      </c>
      <c r="M21" s="30">
        <f t="shared" si="6"/>
        <v>0</v>
      </c>
      <c r="N21" s="30">
        <f t="shared" si="6"/>
        <v>0</v>
      </c>
      <c r="O21" s="30">
        <f t="shared" si="6"/>
        <v>0</v>
      </c>
      <c r="P21" s="30">
        <f t="shared" si="6"/>
        <v>0</v>
      </c>
      <c r="Q21" s="30">
        <f t="shared" si="6"/>
        <v>0</v>
      </c>
      <c r="R21" s="30">
        <f t="shared" si="6"/>
        <v>0</v>
      </c>
      <c r="S21" s="33">
        <f t="shared" si="7"/>
        <v>0</v>
      </c>
    </row>
    <row r="22" spans="1:19" s="23" customFormat="1" ht="13" x14ac:dyDescent="0.3">
      <c r="A22" s="28"/>
      <c r="B22" s="31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32"/>
    </row>
    <row r="23" spans="1:19" s="40" customFormat="1" ht="13.5" thickBot="1" x14ac:dyDescent="0.35">
      <c r="A23" s="36" t="s">
        <v>6</v>
      </c>
      <c r="B23" s="37"/>
      <c r="C23" s="36"/>
      <c r="D23" s="36"/>
      <c r="E23" s="36"/>
      <c r="F23" s="36"/>
      <c r="G23" s="38">
        <f>SUM(G15:G22)</f>
        <v>2475</v>
      </c>
      <c r="H23" s="38">
        <f t="shared" ref="H23:S23" si="8">SUM(H15:H22)</f>
        <v>2475</v>
      </c>
      <c r="I23" s="38">
        <f t="shared" si="8"/>
        <v>2475</v>
      </c>
      <c r="J23" s="38">
        <f t="shared" si="8"/>
        <v>2475</v>
      </c>
      <c r="K23" s="38">
        <f t="shared" si="8"/>
        <v>2475</v>
      </c>
      <c r="L23" s="38">
        <f t="shared" si="8"/>
        <v>2475</v>
      </c>
      <c r="M23" s="38">
        <f t="shared" si="8"/>
        <v>2475</v>
      </c>
      <c r="N23" s="38">
        <f t="shared" si="8"/>
        <v>2475</v>
      </c>
      <c r="O23" s="38">
        <f t="shared" si="8"/>
        <v>2475</v>
      </c>
      <c r="P23" s="38">
        <f t="shared" si="8"/>
        <v>2475</v>
      </c>
      <c r="Q23" s="38">
        <f t="shared" si="8"/>
        <v>2475</v>
      </c>
      <c r="R23" s="38">
        <f t="shared" si="8"/>
        <v>2475</v>
      </c>
      <c r="S23" s="39">
        <f t="shared" si="8"/>
        <v>29700</v>
      </c>
    </row>
    <row r="24" spans="1:19" s="23" customFormat="1" ht="13.5" thickTop="1" x14ac:dyDescent="0.3">
      <c r="A24" s="28"/>
      <c r="B24" s="31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34">
        <f>S23-C14-D14</f>
        <v>0</v>
      </c>
    </row>
    <row r="25" spans="1:19" s="23" customFormat="1" ht="13" x14ac:dyDescent="0.3">
      <c r="A25" s="29" t="s">
        <v>28</v>
      </c>
      <c r="B25" s="63" t="s">
        <v>39</v>
      </c>
      <c r="C25" s="30">
        <v>36000</v>
      </c>
      <c r="D25" s="30">
        <f>C25*0.188</f>
        <v>6768</v>
      </c>
      <c r="E25" s="30"/>
      <c r="F25" s="30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32"/>
    </row>
    <row r="26" spans="1:19" s="23" customFormat="1" ht="13" x14ac:dyDescent="0.3">
      <c r="A26" s="28" t="s">
        <v>11</v>
      </c>
      <c r="B26" s="41">
        <v>0.1</v>
      </c>
      <c r="C26" s="28"/>
      <c r="D26" s="28"/>
      <c r="E26" s="28"/>
      <c r="F26" s="28"/>
      <c r="G26" s="30">
        <f>SUM($C$25:$D$25)/12*$B26</f>
        <v>356.40000000000003</v>
      </c>
      <c r="H26" s="30">
        <f t="shared" ref="H26:K26" si="9">SUM($C$25:$D$25)/12*$B26</f>
        <v>356.40000000000003</v>
      </c>
      <c r="I26" s="30">
        <f t="shared" si="9"/>
        <v>356.40000000000003</v>
      </c>
      <c r="J26" s="30">
        <f t="shared" si="9"/>
        <v>356.40000000000003</v>
      </c>
      <c r="K26" s="30">
        <f t="shared" si="9"/>
        <v>356.40000000000003</v>
      </c>
      <c r="L26" s="30"/>
      <c r="M26" s="30"/>
      <c r="N26" s="30"/>
      <c r="O26" s="30"/>
      <c r="P26" s="30"/>
      <c r="Q26" s="30"/>
      <c r="R26" s="30"/>
      <c r="S26" s="33">
        <f>SUM(G26:R26)</f>
        <v>1782.0000000000002</v>
      </c>
    </row>
    <row r="27" spans="1:19" s="23" customFormat="1" ht="13" x14ac:dyDescent="0.3">
      <c r="A27" s="28" t="s">
        <v>12</v>
      </c>
      <c r="B27" s="41">
        <v>0</v>
      </c>
      <c r="C27" s="28"/>
      <c r="D27" s="28"/>
      <c r="E27" s="28"/>
      <c r="F27" s="28"/>
      <c r="G27" s="30">
        <f t="shared" ref="G27:K32" si="10">SUM($C$25:$D$25)/12*$B27</f>
        <v>0</v>
      </c>
      <c r="H27" s="30">
        <f t="shared" si="10"/>
        <v>0</v>
      </c>
      <c r="I27" s="30">
        <f t="shared" si="10"/>
        <v>0</v>
      </c>
      <c r="J27" s="30">
        <f t="shared" si="10"/>
        <v>0</v>
      </c>
      <c r="K27" s="30">
        <f t="shared" si="10"/>
        <v>0</v>
      </c>
      <c r="L27" s="30"/>
      <c r="M27" s="30"/>
      <c r="N27" s="30"/>
      <c r="O27" s="30"/>
      <c r="P27" s="30"/>
      <c r="Q27" s="30"/>
      <c r="R27" s="30"/>
      <c r="S27" s="33">
        <f t="shared" ref="S27:S32" si="11">SUM(G27:R27)</f>
        <v>0</v>
      </c>
    </row>
    <row r="28" spans="1:19" s="23" customFormat="1" ht="13" x14ac:dyDescent="0.3">
      <c r="A28" s="28" t="s">
        <v>14</v>
      </c>
      <c r="B28" s="41">
        <v>0.6</v>
      </c>
      <c r="C28" s="28"/>
      <c r="D28" s="28"/>
      <c r="E28" s="28"/>
      <c r="F28" s="28"/>
      <c r="G28" s="30">
        <f t="shared" si="10"/>
        <v>2138.4</v>
      </c>
      <c r="H28" s="30">
        <f t="shared" si="10"/>
        <v>2138.4</v>
      </c>
      <c r="I28" s="30">
        <f t="shared" si="10"/>
        <v>2138.4</v>
      </c>
      <c r="J28" s="30">
        <f t="shared" si="10"/>
        <v>2138.4</v>
      </c>
      <c r="K28" s="30">
        <f t="shared" si="10"/>
        <v>2138.4</v>
      </c>
      <c r="L28" s="30"/>
      <c r="M28" s="30"/>
      <c r="N28" s="30"/>
      <c r="O28" s="30"/>
      <c r="P28" s="30"/>
      <c r="Q28" s="30"/>
      <c r="R28" s="30"/>
      <c r="S28" s="33">
        <f t="shared" si="11"/>
        <v>10692</v>
      </c>
    </row>
    <row r="29" spans="1:19" s="23" customFormat="1" ht="13" x14ac:dyDescent="0.3">
      <c r="A29" s="28" t="s">
        <v>17</v>
      </c>
      <c r="B29" s="41">
        <v>0.05</v>
      </c>
      <c r="C29" s="28"/>
      <c r="D29" s="28"/>
      <c r="E29" s="28"/>
      <c r="F29" s="28"/>
      <c r="G29" s="30">
        <f t="shared" si="10"/>
        <v>178.20000000000002</v>
      </c>
      <c r="H29" s="30">
        <f t="shared" si="10"/>
        <v>178.20000000000002</v>
      </c>
      <c r="I29" s="30">
        <f t="shared" si="10"/>
        <v>178.20000000000002</v>
      </c>
      <c r="J29" s="30">
        <f t="shared" si="10"/>
        <v>178.20000000000002</v>
      </c>
      <c r="K29" s="30">
        <f t="shared" si="10"/>
        <v>178.20000000000002</v>
      </c>
      <c r="L29" s="30"/>
      <c r="M29" s="30"/>
      <c r="N29" s="30"/>
      <c r="O29" s="30"/>
      <c r="P29" s="30"/>
      <c r="Q29" s="30"/>
      <c r="R29" s="30"/>
      <c r="S29" s="33">
        <f t="shared" si="11"/>
        <v>891.00000000000011</v>
      </c>
    </row>
    <row r="30" spans="1:19" s="23" customFormat="1" ht="13" x14ac:dyDescent="0.3">
      <c r="A30" s="28" t="s">
        <v>18</v>
      </c>
      <c r="B30" s="41">
        <v>0.05</v>
      </c>
      <c r="C30" s="28"/>
      <c r="D30" s="28"/>
      <c r="E30" s="28"/>
      <c r="F30" s="28"/>
      <c r="G30" s="30">
        <f t="shared" si="10"/>
        <v>178.20000000000002</v>
      </c>
      <c r="H30" s="30">
        <f t="shared" si="10"/>
        <v>178.20000000000002</v>
      </c>
      <c r="I30" s="30">
        <f t="shared" si="10"/>
        <v>178.20000000000002</v>
      </c>
      <c r="J30" s="30">
        <f t="shared" si="10"/>
        <v>178.20000000000002</v>
      </c>
      <c r="K30" s="30">
        <f t="shared" si="10"/>
        <v>178.20000000000002</v>
      </c>
      <c r="L30" s="30"/>
      <c r="M30" s="30"/>
      <c r="N30" s="30"/>
      <c r="O30" s="30"/>
      <c r="P30" s="30"/>
      <c r="Q30" s="30"/>
      <c r="R30" s="30"/>
      <c r="S30" s="33">
        <f t="shared" si="11"/>
        <v>891.00000000000011</v>
      </c>
    </row>
    <row r="31" spans="1:19" s="23" customFormat="1" ht="13" x14ac:dyDescent="0.3">
      <c r="A31" s="28" t="s">
        <v>19</v>
      </c>
      <c r="B31" s="41">
        <v>0</v>
      </c>
      <c r="C31" s="28"/>
      <c r="D31" s="28"/>
      <c r="E31" s="28"/>
      <c r="F31" s="28"/>
      <c r="G31" s="30">
        <f>SUM($C$25:$D$25)/12*$B31</f>
        <v>0</v>
      </c>
      <c r="H31" s="30">
        <f t="shared" si="10"/>
        <v>0</v>
      </c>
      <c r="I31" s="30">
        <f t="shared" si="10"/>
        <v>0</v>
      </c>
      <c r="J31" s="30">
        <f t="shared" si="10"/>
        <v>0</v>
      </c>
      <c r="K31" s="30">
        <f t="shared" si="10"/>
        <v>0</v>
      </c>
      <c r="L31" s="30"/>
      <c r="M31" s="30"/>
      <c r="N31" s="30"/>
      <c r="O31" s="30"/>
      <c r="P31" s="30"/>
      <c r="Q31" s="30"/>
      <c r="R31" s="30"/>
      <c r="S31" s="33">
        <f t="shared" si="11"/>
        <v>0</v>
      </c>
    </row>
    <row r="32" spans="1:19" s="23" customFormat="1" ht="13" x14ac:dyDescent="0.3">
      <c r="A32" s="28" t="s">
        <v>24</v>
      </c>
      <c r="B32" s="41">
        <v>0</v>
      </c>
      <c r="C32" s="28"/>
      <c r="D32" s="28"/>
      <c r="E32" s="28"/>
      <c r="F32" s="28"/>
      <c r="G32" s="30">
        <f t="shared" si="10"/>
        <v>0</v>
      </c>
      <c r="H32" s="30">
        <f t="shared" si="10"/>
        <v>0</v>
      </c>
      <c r="I32" s="30">
        <f t="shared" si="10"/>
        <v>0</v>
      </c>
      <c r="J32" s="30">
        <f t="shared" si="10"/>
        <v>0</v>
      </c>
      <c r="K32" s="30">
        <f t="shared" si="10"/>
        <v>0</v>
      </c>
      <c r="L32" s="30"/>
      <c r="M32" s="30"/>
      <c r="N32" s="30"/>
      <c r="O32" s="30"/>
      <c r="P32" s="30"/>
      <c r="Q32" s="30"/>
      <c r="R32" s="30"/>
      <c r="S32" s="33">
        <f t="shared" si="11"/>
        <v>0</v>
      </c>
    </row>
    <row r="33" spans="1:19" s="40" customFormat="1" ht="13.5" thickBot="1" x14ac:dyDescent="0.35">
      <c r="A33" s="36" t="s">
        <v>6</v>
      </c>
      <c r="B33" s="37"/>
      <c r="C33" s="36"/>
      <c r="D33" s="36"/>
      <c r="E33" s="36"/>
      <c r="F33" s="36"/>
      <c r="G33" s="38">
        <f>SUM(G26:G32)</f>
        <v>2851.2</v>
      </c>
      <c r="H33" s="38">
        <f t="shared" ref="H33:R33" si="12">SUM(H26:H32)</f>
        <v>2851.2</v>
      </c>
      <c r="I33" s="38">
        <f t="shared" si="12"/>
        <v>2851.2</v>
      </c>
      <c r="J33" s="38">
        <f t="shared" si="12"/>
        <v>2851.2</v>
      </c>
      <c r="K33" s="38">
        <f t="shared" si="12"/>
        <v>2851.2</v>
      </c>
      <c r="L33" s="38">
        <f t="shared" si="12"/>
        <v>0</v>
      </c>
      <c r="M33" s="38">
        <f t="shared" si="12"/>
        <v>0</v>
      </c>
      <c r="N33" s="38">
        <f t="shared" si="12"/>
        <v>0</v>
      </c>
      <c r="O33" s="38">
        <f t="shared" si="12"/>
        <v>0</v>
      </c>
      <c r="P33" s="38">
        <f t="shared" si="12"/>
        <v>0</v>
      </c>
      <c r="Q33" s="38">
        <f t="shared" si="12"/>
        <v>0</v>
      </c>
      <c r="R33" s="38">
        <f t="shared" si="12"/>
        <v>0</v>
      </c>
      <c r="S33" s="39">
        <f>SUM(S26:S32)</f>
        <v>14256</v>
      </c>
    </row>
    <row r="34" spans="1:19" ht="15" thickTop="1" x14ac:dyDescent="0.35">
      <c r="S34" s="34"/>
    </row>
    <row r="35" spans="1:19" s="47" customFormat="1" ht="13" x14ac:dyDescent="0.3">
      <c r="A35" s="43" t="s">
        <v>29</v>
      </c>
      <c r="B35" s="44">
        <v>0.2</v>
      </c>
      <c r="C35" s="43"/>
      <c r="D35" s="43"/>
      <c r="E35" s="43"/>
      <c r="F35" s="43"/>
      <c r="G35" s="45">
        <f>SUM($C$25:$D$25)/12*$B35</f>
        <v>712.80000000000007</v>
      </c>
      <c r="H35" s="45">
        <f>SUM($C$25:$D$25)/12*$B35</f>
        <v>712.80000000000007</v>
      </c>
      <c r="I35" s="45">
        <f>SUM($C$25:$D$25)/12*$B35</f>
        <v>712.80000000000007</v>
      </c>
      <c r="J35" s="45">
        <f>SUM($C$25:$D$25)/12*$B35</f>
        <v>712.80000000000007</v>
      </c>
      <c r="K35" s="45">
        <f>SUM($C$25:$D$25)/12*$B35</f>
        <v>712.80000000000007</v>
      </c>
      <c r="L35" s="45"/>
      <c r="M35" s="45"/>
      <c r="N35" s="45"/>
      <c r="O35" s="45"/>
      <c r="P35" s="45"/>
      <c r="Q35" s="45"/>
      <c r="R35" s="45"/>
      <c r="S35" s="46">
        <f t="shared" ref="S35" si="13">SUM(G35:R35)</f>
        <v>3564.0000000000005</v>
      </c>
    </row>
    <row r="37" spans="1:19" s="23" customFormat="1" ht="13" x14ac:dyDescent="0.3">
      <c r="A37" s="29" t="s">
        <v>30</v>
      </c>
      <c r="B37" s="31"/>
      <c r="C37" s="30">
        <v>50000</v>
      </c>
      <c r="D37" s="30">
        <f>C37*0.188</f>
        <v>9400</v>
      </c>
      <c r="E37" s="30">
        <f>4000*12</f>
        <v>48000</v>
      </c>
      <c r="F37" s="30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32"/>
    </row>
    <row r="38" spans="1:19" s="23" customFormat="1" ht="13" x14ac:dyDescent="0.3">
      <c r="A38" s="28" t="s">
        <v>11</v>
      </c>
      <c r="B38" s="41">
        <v>0.1</v>
      </c>
      <c r="C38" s="28"/>
      <c r="D38" s="28"/>
      <c r="E38" s="28"/>
      <c r="F38" s="28"/>
      <c r="G38" s="30">
        <f>SUM($C$37:$D$37)/12*$B38</f>
        <v>495</v>
      </c>
      <c r="H38" s="30">
        <f t="shared" ref="H38:J38" si="14">SUM($C$37:$D$37)/12*$B38</f>
        <v>495</v>
      </c>
      <c r="I38" s="30">
        <f t="shared" si="14"/>
        <v>495</v>
      </c>
      <c r="J38" s="30">
        <f t="shared" si="14"/>
        <v>495</v>
      </c>
      <c r="K38" s="30">
        <f>SUM($C$37:$D$37)/12*$B38</f>
        <v>495</v>
      </c>
      <c r="L38" s="30">
        <f>SUM($E$37)/12*$B38</f>
        <v>400</v>
      </c>
      <c r="M38" s="30">
        <f t="shared" ref="M38:R38" si="15">SUM($E$37)/12*$B38</f>
        <v>400</v>
      </c>
      <c r="N38" s="30">
        <f t="shared" si="15"/>
        <v>400</v>
      </c>
      <c r="O38" s="30">
        <f t="shared" si="15"/>
        <v>400</v>
      </c>
      <c r="P38" s="30">
        <f t="shared" si="15"/>
        <v>400</v>
      </c>
      <c r="Q38" s="30">
        <f t="shared" si="15"/>
        <v>400</v>
      </c>
      <c r="R38" s="30">
        <f t="shared" si="15"/>
        <v>400</v>
      </c>
      <c r="S38" s="33">
        <f>SUM(G38:R38)</f>
        <v>5275</v>
      </c>
    </row>
    <row r="39" spans="1:19" s="23" customFormat="1" ht="13" x14ac:dyDescent="0.3">
      <c r="A39" s="28" t="s">
        <v>12</v>
      </c>
      <c r="B39" s="41">
        <v>0.5</v>
      </c>
      <c r="C39" s="28"/>
      <c r="D39" s="28"/>
      <c r="E39" s="28"/>
      <c r="F39" s="28"/>
      <c r="G39" s="30">
        <f t="shared" ref="G39:K44" si="16">SUM($C$37:$D$37)/12*$B39</f>
        <v>2475</v>
      </c>
      <c r="H39" s="30">
        <f t="shared" si="16"/>
        <v>2475</v>
      </c>
      <c r="I39" s="30">
        <f t="shared" si="16"/>
        <v>2475</v>
      </c>
      <c r="J39" s="30">
        <f t="shared" si="16"/>
        <v>2475</v>
      </c>
      <c r="K39" s="30">
        <f t="shared" si="16"/>
        <v>2475</v>
      </c>
      <c r="L39" s="30">
        <f t="shared" ref="L39:R44" si="17">SUM($E$37)/12*$B39</f>
        <v>2000</v>
      </c>
      <c r="M39" s="30">
        <f t="shared" si="17"/>
        <v>2000</v>
      </c>
      <c r="N39" s="30">
        <f t="shared" si="17"/>
        <v>2000</v>
      </c>
      <c r="O39" s="30">
        <f t="shared" si="17"/>
        <v>2000</v>
      </c>
      <c r="P39" s="30">
        <f t="shared" si="17"/>
        <v>2000</v>
      </c>
      <c r="Q39" s="30">
        <f t="shared" si="17"/>
        <v>2000</v>
      </c>
      <c r="R39" s="30">
        <f t="shared" si="17"/>
        <v>2000</v>
      </c>
      <c r="S39" s="33">
        <f t="shared" ref="S39:S44" si="18">SUM(G39:R39)</f>
        <v>26375</v>
      </c>
    </row>
    <row r="40" spans="1:19" s="23" customFormat="1" ht="13" x14ac:dyDescent="0.3">
      <c r="A40" s="28" t="s">
        <v>14</v>
      </c>
      <c r="B40" s="41"/>
      <c r="C40" s="28"/>
      <c r="D40" s="28"/>
      <c r="E40" s="28"/>
      <c r="F40" s="28"/>
      <c r="G40" s="30">
        <f t="shared" si="16"/>
        <v>0</v>
      </c>
      <c r="H40" s="30">
        <f t="shared" si="16"/>
        <v>0</v>
      </c>
      <c r="I40" s="30">
        <f t="shared" si="16"/>
        <v>0</v>
      </c>
      <c r="J40" s="30">
        <f t="shared" si="16"/>
        <v>0</v>
      </c>
      <c r="K40" s="30">
        <f t="shared" si="16"/>
        <v>0</v>
      </c>
      <c r="L40" s="30">
        <f t="shared" si="17"/>
        <v>0</v>
      </c>
      <c r="M40" s="30">
        <f t="shared" si="17"/>
        <v>0</v>
      </c>
      <c r="N40" s="30">
        <f t="shared" si="17"/>
        <v>0</v>
      </c>
      <c r="O40" s="30">
        <f t="shared" si="17"/>
        <v>0</v>
      </c>
      <c r="P40" s="30">
        <f t="shared" si="17"/>
        <v>0</v>
      </c>
      <c r="Q40" s="30">
        <f t="shared" si="17"/>
        <v>0</v>
      </c>
      <c r="R40" s="30">
        <f t="shared" si="17"/>
        <v>0</v>
      </c>
      <c r="S40" s="33">
        <f t="shared" si="18"/>
        <v>0</v>
      </c>
    </row>
    <row r="41" spans="1:19" s="23" customFormat="1" ht="13" x14ac:dyDescent="0.3">
      <c r="A41" s="28" t="s">
        <v>17</v>
      </c>
      <c r="B41" s="41">
        <v>0.1</v>
      </c>
      <c r="C41" s="28"/>
      <c r="D41" s="28"/>
      <c r="E41" s="28"/>
      <c r="F41" s="28"/>
      <c r="G41" s="30">
        <f t="shared" si="16"/>
        <v>495</v>
      </c>
      <c r="H41" s="30">
        <f t="shared" si="16"/>
        <v>495</v>
      </c>
      <c r="I41" s="30">
        <f t="shared" si="16"/>
        <v>495</v>
      </c>
      <c r="J41" s="30">
        <f t="shared" si="16"/>
        <v>495</v>
      </c>
      <c r="K41" s="30">
        <f t="shared" si="16"/>
        <v>495</v>
      </c>
      <c r="L41" s="30">
        <f t="shared" si="17"/>
        <v>400</v>
      </c>
      <c r="M41" s="30">
        <f t="shared" si="17"/>
        <v>400</v>
      </c>
      <c r="N41" s="30">
        <f t="shared" si="17"/>
        <v>400</v>
      </c>
      <c r="O41" s="30">
        <f t="shared" si="17"/>
        <v>400</v>
      </c>
      <c r="P41" s="30">
        <f t="shared" si="17"/>
        <v>400</v>
      </c>
      <c r="Q41" s="30">
        <f t="shared" si="17"/>
        <v>400</v>
      </c>
      <c r="R41" s="30">
        <f t="shared" si="17"/>
        <v>400</v>
      </c>
      <c r="S41" s="33">
        <f t="shared" si="18"/>
        <v>5275</v>
      </c>
    </row>
    <row r="42" spans="1:19" s="23" customFormat="1" ht="13" x14ac:dyDescent="0.3">
      <c r="A42" s="28" t="s">
        <v>18</v>
      </c>
      <c r="B42" s="41">
        <v>0.1</v>
      </c>
      <c r="C42" s="28"/>
      <c r="D42" s="28"/>
      <c r="E42" s="28"/>
      <c r="F42" s="28"/>
      <c r="G42" s="30">
        <f t="shared" si="16"/>
        <v>495</v>
      </c>
      <c r="H42" s="30">
        <f t="shared" si="16"/>
        <v>495</v>
      </c>
      <c r="I42" s="30">
        <f t="shared" si="16"/>
        <v>495</v>
      </c>
      <c r="J42" s="30">
        <f t="shared" si="16"/>
        <v>495</v>
      </c>
      <c r="K42" s="30">
        <f t="shared" si="16"/>
        <v>495</v>
      </c>
      <c r="L42" s="30">
        <f t="shared" si="17"/>
        <v>400</v>
      </c>
      <c r="M42" s="30">
        <f t="shared" si="17"/>
        <v>400</v>
      </c>
      <c r="N42" s="30">
        <f t="shared" si="17"/>
        <v>400</v>
      </c>
      <c r="O42" s="30">
        <f t="shared" si="17"/>
        <v>400</v>
      </c>
      <c r="P42" s="30">
        <f t="shared" si="17"/>
        <v>400</v>
      </c>
      <c r="Q42" s="30">
        <f t="shared" si="17"/>
        <v>400</v>
      </c>
      <c r="R42" s="30">
        <f t="shared" si="17"/>
        <v>400</v>
      </c>
      <c r="S42" s="33">
        <f t="shared" si="18"/>
        <v>5275</v>
      </c>
    </row>
    <row r="43" spans="1:19" s="23" customFormat="1" ht="13" x14ac:dyDescent="0.3">
      <c r="A43" s="28" t="s">
        <v>19</v>
      </c>
      <c r="B43" s="41"/>
      <c r="C43" s="28"/>
      <c r="D43" s="28"/>
      <c r="E43" s="28"/>
      <c r="F43" s="28"/>
      <c r="G43" s="30">
        <f t="shared" si="16"/>
        <v>0</v>
      </c>
      <c r="H43" s="30">
        <f t="shared" si="16"/>
        <v>0</v>
      </c>
      <c r="I43" s="30">
        <f t="shared" si="16"/>
        <v>0</v>
      </c>
      <c r="J43" s="30">
        <f t="shared" si="16"/>
        <v>0</v>
      </c>
      <c r="K43" s="30">
        <f t="shared" si="16"/>
        <v>0</v>
      </c>
      <c r="L43" s="30">
        <f t="shared" si="17"/>
        <v>0</v>
      </c>
      <c r="M43" s="30">
        <f t="shared" si="17"/>
        <v>0</v>
      </c>
      <c r="N43" s="30">
        <f t="shared" si="17"/>
        <v>0</v>
      </c>
      <c r="O43" s="30">
        <f t="shared" si="17"/>
        <v>0</v>
      </c>
      <c r="P43" s="30">
        <f t="shared" si="17"/>
        <v>0</v>
      </c>
      <c r="Q43" s="30">
        <f t="shared" si="17"/>
        <v>0</v>
      </c>
      <c r="R43" s="30">
        <f t="shared" si="17"/>
        <v>0</v>
      </c>
      <c r="S43" s="33">
        <f t="shared" si="18"/>
        <v>0</v>
      </c>
    </row>
    <row r="44" spans="1:19" s="23" customFormat="1" ht="13" x14ac:dyDescent="0.3">
      <c r="A44" s="28" t="s">
        <v>24</v>
      </c>
      <c r="B44" s="41"/>
      <c r="C44" s="28"/>
      <c r="D44" s="28"/>
      <c r="E44" s="28"/>
      <c r="F44" s="28"/>
      <c r="G44" s="30">
        <f t="shared" si="16"/>
        <v>0</v>
      </c>
      <c r="H44" s="30">
        <f t="shared" si="16"/>
        <v>0</v>
      </c>
      <c r="I44" s="30">
        <f t="shared" si="16"/>
        <v>0</v>
      </c>
      <c r="J44" s="30">
        <f t="shared" si="16"/>
        <v>0</v>
      </c>
      <c r="K44" s="30">
        <f t="shared" si="16"/>
        <v>0</v>
      </c>
      <c r="L44" s="30">
        <f t="shared" si="17"/>
        <v>0</v>
      </c>
      <c r="M44" s="30">
        <f t="shared" si="17"/>
        <v>0</v>
      </c>
      <c r="N44" s="30">
        <f t="shared" si="17"/>
        <v>0</v>
      </c>
      <c r="O44" s="30">
        <f t="shared" si="17"/>
        <v>0</v>
      </c>
      <c r="P44" s="30">
        <f t="shared" si="17"/>
        <v>0</v>
      </c>
      <c r="Q44" s="30">
        <f t="shared" si="17"/>
        <v>0</v>
      </c>
      <c r="R44" s="30">
        <f t="shared" si="17"/>
        <v>0</v>
      </c>
      <c r="S44" s="33">
        <f t="shared" si="18"/>
        <v>0</v>
      </c>
    </row>
    <row r="45" spans="1:19" s="40" customFormat="1" ht="13.5" thickBot="1" x14ac:dyDescent="0.35">
      <c r="A45" s="36" t="s">
        <v>6</v>
      </c>
      <c r="B45" s="37"/>
      <c r="C45" s="36"/>
      <c r="D45" s="36"/>
      <c r="E45" s="36"/>
      <c r="F45" s="36"/>
      <c r="G45" s="38">
        <f>SUM(G38:G44)</f>
        <v>3960</v>
      </c>
      <c r="H45" s="38">
        <f t="shared" ref="H45:R45" si="19">SUM(H38:H44)</f>
        <v>3960</v>
      </c>
      <c r="I45" s="38">
        <f t="shared" si="19"/>
        <v>3960</v>
      </c>
      <c r="J45" s="38">
        <f t="shared" si="19"/>
        <v>3960</v>
      </c>
      <c r="K45" s="38">
        <f t="shared" si="19"/>
        <v>3960</v>
      </c>
      <c r="L45" s="38">
        <f>SUM(L38:L44)</f>
        <v>3200</v>
      </c>
      <c r="M45" s="38">
        <f t="shared" si="19"/>
        <v>3200</v>
      </c>
      <c r="N45" s="38">
        <f t="shared" si="19"/>
        <v>3200</v>
      </c>
      <c r="O45" s="38">
        <f t="shared" si="19"/>
        <v>3200</v>
      </c>
      <c r="P45" s="38">
        <f t="shared" si="19"/>
        <v>3200</v>
      </c>
      <c r="Q45" s="38">
        <f t="shared" si="19"/>
        <v>3200</v>
      </c>
      <c r="R45" s="38">
        <f t="shared" si="19"/>
        <v>3200</v>
      </c>
      <c r="S45" s="39">
        <f>SUM(S38:S44)</f>
        <v>42200</v>
      </c>
    </row>
    <row r="46" spans="1:19" ht="15" thickTop="1" x14ac:dyDescent="0.35">
      <c r="S46" s="48"/>
    </row>
    <row r="47" spans="1:19" s="47" customFormat="1" ht="13" x14ac:dyDescent="0.3">
      <c r="A47" s="43" t="s">
        <v>29</v>
      </c>
      <c r="B47" s="44">
        <v>0.2</v>
      </c>
      <c r="C47" s="43"/>
      <c r="D47" s="43"/>
      <c r="E47" s="43"/>
      <c r="F47" s="43"/>
      <c r="G47" s="45">
        <f>SUM($C$37:$D$37)/12*$B47</f>
        <v>990</v>
      </c>
      <c r="H47" s="45">
        <f t="shared" ref="H47:K47" si="20">SUM($C$37:$D$37)/12*$B47</f>
        <v>990</v>
      </c>
      <c r="I47" s="45">
        <f t="shared" si="20"/>
        <v>990</v>
      </c>
      <c r="J47" s="45">
        <f t="shared" si="20"/>
        <v>990</v>
      </c>
      <c r="K47" s="45">
        <f t="shared" si="20"/>
        <v>990</v>
      </c>
      <c r="L47" s="45">
        <f>SUM($E$37)/12*$B47</f>
        <v>800</v>
      </c>
      <c r="M47" s="45">
        <f t="shared" ref="M47:R47" si="21">SUM($E$37)/12*$B47</f>
        <v>800</v>
      </c>
      <c r="N47" s="45">
        <f t="shared" si="21"/>
        <v>800</v>
      </c>
      <c r="O47" s="45">
        <f t="shared" si="21"/>
        <v>800</v>
      </c>
      <c r="P47" s="45">
        <f t="shared" si="21"/>
        <v>800</v>
      </c>
      <c r="Q47" s="45">
        <f t="shared" si="21"/>
        <v>800</v>
      </c>
      <c r="R47" s="45">
        <f t="shared" si="21"/>
        <v>800</v>
      </c>
      <c r="S47" s="46">
        <f>SUM(G47:R47)</f>
        <v>10550</v>
      </c>
    </row>
    <row r="50" spans="1:19" s="23" customFormat="1" ht="13" x14ac:dyDescent="0.3">
      <c r="A50" s="29" t="s">
        <v>31</v>
      </c>
      <c r="B50" s="63" t="s">
        <v>40</v>
      </c>
      <c r="C50" s="30">
        <v>30000</v>
      </c>
      <c r="D50" s="30">
        <f>C50*0.188</f>
        <v>5640</v>
      </c>
      <c r="E50" s="30"/>
      <c r="F50" s="30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32"/>
    </row>
    <row r="51" spans="1:19" s="23" customFormat="1" ht="13" x14ac:dyDescent="0.3">
      <c r="A51" s="28" t="s">
        <v>11</v>
      </c>
      <c r="B51" s="41">
        <v>0.1</v>
      </c>
      <c r="C51" s="28"/>
      <c r="D51" s="28"/>
      <c r="E51" s="28"/>
      <c r="F51" s="28"/>
      <c r="G51" s="30">
        <f t="shared" ref="G51:K57" si="22">SUM($C$50:$D$50)/12*$B51</f>
        <v>297</v>
      </c>
      <c r="H51" s="30">
        <f t="shared" si="22"/>
        <v>297</v>
      </c>
      <c r="I51" s="30">
        <f t="shared" si="22"/>
        <v>297</v>
      </c>
      <c r="J51" s="30">
        <f t="shared" si="22"/>
        <v>297</v>
      </c>
      <c r="K51" s="30">
        <f t="shared" si="22"/>
        <v>297</v>
      </c>
      <c r="L51" s="30">
        <f>SUM($C$50:$D$50)/12*$B51/2</f>
        <v>148.5</v>
      </c>
      <c r="M51" s="30"/>
      <c r="N51" s="30"/>
      <c r="O51" s="30"/>
      <c r="P51" s="30"/>
      <c r="Q51" s="30"/>
      <c r="R51" s="30"/>
      <c r="S51" s="33">
        <f>SUM(G51:R51)</f>
        <v>1633.5</v>
      </c>
    </row>
    <row r="52" spans="1:19" s="23" customFormat="1" ht="13" x14ac:dyDescent="0.3">
      <c r="A52" s="28" t="s">
        <v>12</v>
      </c>
      <c r="B52" s="41">
        <v>0.5</v>
      </c>
      <c r="C52" s="28"/>
      <c r="D52" s="28"/>
      <c r="E52" s="28"/>
      <c r="F52" s="28"/>
      <c r="G52" s="30">
        <f t="shared" si="22"/>
        <v>1485</v>
      </c>
      <c r="H52" s="30">
        <f t="shared" si="22"/>
        <v>1485</v>
      </c>
      <c r="I52" s="30">
        <f t="shared" si="22"/>
        <v>1485</v>
      </c>
      <c r="J52" s="30">
        <f t="shared" si="22"/>
        <v>1485</v>
      </c>
      <c r="K52" s="30">
        <f t="shared" si="22"/>
        <v>1485</v>
      </c>
      <c r="L52" s="30">
        <f t="shared" ref="L52:L57" si="23">SUM($C$50:$D$50)/12*$B52/2</f>
        <v>742.5</v>
      </c>
      <c r="M52" s="30"/>
      <c r="N52" s="30"/>
      <c r="O52" s="30"/>
      <c r="P52" s="30"/>
      <c r="Q52" s="30"/>
      <c r="R52" s="30"/>
      <c r="S52" s="33">
        <f t="shared" ref="S52:S57" si="24">SUM(G52:R52)</f>
        <v>8167.5</v>
      </c>
    </row>
    <row r="53" spans="1:19" s="23" customFormat="1" ht="13" x14ac:dyDescent="0.3">
      <c r="A53" s="28" t="s">
        <v>14</v>
      </c>
      <c r="B53" s="41">
        <v>0.1</v>
      </c>
      <c r="C53" s="28"/>
      <c r="D53" s="28"/>
      <c r="E53" s="28"/>
      <c r="F53" s="28"/>
      <c r="G53" s="30">
        <f t="shared" si="22"/>
        <v>297</v>
      </c>
      <c r="H53" s="30">
        <f t="shared" si="22"/>
        <v>297</v>
      </c>
      <c r="I53" s="30">
        <f t="shared" si="22"/>
        <v>297</v>
      </c>
      <c r="J53" s="30">
        <f t="shared" si="22"/>
        <v>297</v>
      </c>
      <c r="K53" s="30">
        <f t="shared" si="22"/>
        <v>297</v>
      </c>
      <c r="L53" s="30">
        <f t="shared" si="23"/>
        <v>148.5</v>
      </c>
      <c r="M53" s="30"/>
      <c r="N53" s="30"/>
      <c r="O53" s="30"/>
      <c r="P53" s="30"/>
      <c r="Q53" s="30"/>
      <c r="R53" s="30"/>
      <c r="S53" s="33">
        <f t="shared" si="24"/>
        <v>1633.5</v>
      </c>
    </row>
    <row r="54" spans="1:19" s="23" customFormat="1" ht="13" x14ac:dyDescent="0.3">
      <c r="A54" s="28" t="s">
        <v>17</v>
      </c>
      <c r="B54" s="41">
        <v>0.1</v>
      </c>
      <c r="C54" s="28"/>
      <c r="D54" s="28"/>
      <c r="E54" s="28"/>
      <c r="F54" s="28"/>
      <c r="G54" s="30">
        <f t="shared" si="22"/>
        <v>297</v>
      </c>
      <c r="H54" s="30">
        <f t="shared" si="22"/>
        <v>297</v>
      </c>
      <c r="I54" s="30">
        <f t="shared" si="22"/>
        <v>297</v>
      </c>
      <c r="J54" s="30">
        <f t="shared" si="22"/>
        <v>297</v>
      </c>
      <c r="K54" s="30">
        <f t="shared" si="22"/>
        <v>297</v>
      </c>
      <c r="L54" s="30">
        <f t="shared" si="23"/>
        <v>148.5</v>
      </c>
      <c r="M54" s="30"/>
      <c r="N54" s="30"/>
      <c r="O54" s="30"/>
      <c r="P54" s="30"/>
      <c r="Q54" s="30"/>
      <c r="R54" s="30"/>
      <c r="S54" s="33">
        <f t="shared" si="24"/>
        <v>1633.5</v>
      </c>
    </row>
    <row r="55" spans="1:19" s="23" customFormat="1" ht="13" x14ac:dyDescent="0.3">
      <c r="A55" s="28" t="s">
        <v>18</v>
      </c>
      <c r="B55" s="41">
        <v>0.1</v>
      </c>
      <c r="C55" s="28"/>
      <c r="D55" s="28"/>
      <c r="E55" s="28"/>
      <c r="F55" s="28"/>
      <c r="G55" s="30">
        <f t="shared" si="22"/>
        <v>297</v>
      </c>
      <c r="H55" s="30">
        <f t="shared" si="22"/>
        <v>297</v>
      </c>
      <c r="I55" s="30">
        <f t="shared" si="22"/>
        <v>297</v>
      </c>
      <c r="J55" s="30">
        <f t="shared" si="22"/>
        <v>297</v>
      </c>
      <c r="K55" s="30">
        <f t="shared" si="22"/>
        <v>297</v>
      </c>
      <c r="L55" s="30">
        <f t="shared" si="23"/>
        <v>148.5</v>
      </c>
      <c r="M55" s="30"/>
      <c r="N55" s="30"/>
      <c r="O55" s="30"/>
      <c r="P55" s="30"/>
      <c r="Q55" s="30"/>
      <c r="R55" s="30"/>
      <c r="S55" s="33">
        <f t="shared" si="24"/>
        <v>1633.5</v>
      </c>
    </row>
    <row r="56" spans="1:19" s="23" customFormat="1" ht="13" x14ac:dyDescent="0.3">
      <c r="A56" s="28" t="s">
        <v>19</v>
      </c>
      <c r="B56" s="41">
        <v>0.1</v>
      </c>
      <c r="C56" s="28"/>
      <c r="D56" s="28"/>
      <c r="E56" s="28"/>
      <c r="F56" s="28"/>
      <c r="G56" s="30">
        <f t="shared" si="22"/>
        <v>297</v>
      </c>
      <c r="H56" s="30">
        <f t="shared" si="22"/>
        <v>297</v>
      </c>
      <c r="I56" s="30">
        <f t="shared" si="22"/>
        <v>297</v>
      </c>
      <c r="J56" s="30">
        <f t="shared" si="22"/>
        <v>297</v>
      </c>
      <c r="K56" s="30">
        <f t="shared" si="22"/>
        <v>297</v>
      </c>
      <c r="L56" s="30">
        <f t="shared" si="23"/>
        <v>148.5</v>
      </c>
      <c r="M56" s="30"/>
      <c r="N56" s="30"/>
      <c r="O56" s="30"/>
      <c r="P56" s="30"/>
      <c r="Q56" s="30"/>
      <c r="R56" s="30"/>
      <c r="S56" s="33">
        <f t="shared" si="24"/>
        <v>1633.5</v>
      </c>
    </row>
    <row r="57" spans="1:19" s="23" customFormat="1" ht="13" x14ac:dyDescent="0.3">
      <c r="A57" s="28" t="s">
        <v>24</v>
      </c>
      <c r="B57" s="41"/>
      <c r="C57" s="28"/>
      <c r="D57" s="28"/>
      <c r="E57" s="28"/>
      <c r="F57" s="28"/>
      <c r="G57" s="30">
        <f t="shared" si="22"/>
        <v>0</v>
      </c>
      <c r="H57" s="30">
        <f t="shared" si="22"/>
        <v>0</v>
      </c>
      <c r="I57" s="30">
        <f t="shared" si="22"/>
        <v>0</v>
      </c>
      <c r="J57" s="30">
        <f t="shared" si="22"/>
        <v>0</v>
      </c>
      <c r="K57" s="30">
        <f t="shared" si="22"/>
        <v>0</v>
      </c>
      <c r="L57" s="30">
        <f t="shared" si="23"/>
        <v>0</v>
      </c>
      <c r="M57" s="30"/>
      <c r="N57" s="30"/>
      <c r="O57" s="30"/>
      <c r="P57" s="30"/>
      <c r="Q57" s="30"/>
      <c r="R57" s="30"/>
      <c r="S57" s="33">
        <f t="shared" si="24"/>
        <v>0</v>
      </c>
    </row>
    <row r="58" spans="1:19" s="40" customFormat="1" ht="13.5" thickBot="1" x14ac:dyDescent="0.35">
      <c r="A58" s="36" t="s">
        <v>6</v>
      </c>
      <c r="B58" s="37"/>
      <c r="C58" s="36"/>
      <c r="D58" s="36"/>
      <c r="E58" s="36"/>
      <c r="F58" s="36"/>
      <c r="G58" s="38">
        <f>SUM(G51:G57)</f>
        <v>2970</v>
      </c>
      <c r="H58" s="38">
        <f t="shared" ref="H58:K58" si="25">SUM(H51:H57)</f>
        <v>2970</v>
      </c>
      <c r="I58" s="38">
        <f t="shared" si="25"/>
        <v>2970</v>
      </c>
      <c r="J58" s="38">
        <f t="shared" si="25"/>
        <v>2970</v>
      </c>
      <c r="K58" s="38">
        <f t="shared" si="25"/>
        <v>2970</v>
      </c>
      <c r="L58" s="38">
        <f>SUM(L51:L57)</f>
        <v>1485</v>
      </c>
      <c r="M58" s="38">
        <f t="shared" ref="M58:R58" si="26">SUM(M51:M57)</f>
        <v>0</v>
      </c>
      <c r="N58" s="38">
        <f t="shared" si="26"/>
        <v>0</v>
      </c>
      <c r="O58" s="38">
        <f t="shared" si="26"/>
        <v>0</v>
      </c>
      <c r="P58" s="38">
        <f t="shared" si="26"/>
        <v>0</v>
      </c>
      <c r="Q58" s="38">
        <f t="shared" si="26"/>
        <v>0</v>
      </c>
      <c r="R58" s="38">
        <f t="shared" si="26"/>
        <v>0</v>
      </c>
      <c r="S58" s="39">
        <f>SUM(S51:S57)</f>
        <v>16335</v>
      </c>
    </row>
    <row r="59" spans="1:19" ht="15" thickTop="1" x14ac:dyDescent="0.35">
      <c r="S59" s="48"/>
    </row>
    <row r="60" spans="1:19" s="23" customFormat="1" ht="13" x14ac:dyDescent="0.3">
      <c r="A60" s="29" t="s">
        <v>34</v>
      </c>
      <c r="B60" s="31"/>
      <c r="C60" s="30">
        <v>26820</v>
      </c>
      <c r="D60" s="30">
        <f>C60*0.188</f>
        <v>5042.16</v>
      </c>
      <c r="E60" s="30">
        <f>C60/2</f>
        <v>13410</v>
      </c>
      <c r="F60" s="30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32"/>
    </row>
    <row r="61" spans="1:19" s="23" customFormat="1" ht="13" x14ac:dyDescent="0.3">
      <c r="A61" s="28" t="s">
        <v>11</v>
      </c>
      <c r="B61" s="41"/>
      <c r="C61" s="28"/>
      <c r="D61" s="28"/>
      <c r="E61" s="28"/>
      <c r="F61" s="28"/>
      <c r="G61" s="30">
        <f>SUM($C$60:$D$60)/12*$B61</f>
        <v>0</v>
      </c>
      <c r="H61" s="30">
        <f t="shared" ref="G61:J68" si="27">SUM($C$60:$D$60)/12*$B61</f>
        <v>0</v>
      </c>
      <c r="I61" s="30">
        <f t="shared" si="27"/>
        <v>0</v>
      </c>
      <c r="J61" s="30">
        <f t="shared" si="27"/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3">
        <f>SUM(G61:R61)</f>
        <v>0</v>
      </c>
    </row>
    <row r="62" spans="1:19" s="23" customFormat="1" ht="13" x14ac:dyDescent="0.3">
      <c r="A62" s="28" t="s">
        <v>12</v>
      </c>
      <c r="B62" s="41">
        <v>0.45</v>
      </c>
      <c r="C62" s="28"/>
      <c r="D62" s="28"/>
      <c r="E62" s="28"/>
      <c r="F62" s="28"/>
      <c r="G62" s="30">
        <f>SUM($C$60:$D$60)/12*$B62</f>
        <v>1194.8309999999999</v>
      </c>
      <c r="H62" s="30">
        <f t="shared" si="27"/>
        <v>1194.8309999999999</v>
      </c>
      <c r="I62" s="30">
        <f t="shared" si="27"/>
        <v>1194.8309999999999</v>
      </c>
      <c r="J62" s="30">
        <f t="shared" si="27"/>
        <v>1194.8309999999999</v>
      </c>
      <c r="K62" s="30">
        <f>SUM($C$60:$D$60)/12*$B62/2+SUM($E$60/12/2*B62)</f>
        <v>848.85299999999995</v>
      </c>
      <c r="L62" s="30">
        <f>SUM($E$60)/12*0.9</f>
        <v>1005.75</v>
      </c>
      <c r="M62" s="30">
        <f t="shared" ref="M62:R62" si="28">SUM($E$60)/12*0.9</f>
        <v>1005.75</v>
      </c>
      <c r="N62" s="30">
        <f t="shared" si="28"/>
        <v>1005.75</v>
      </c>
      <c r="O62" s="30">
        <f t="shared" si="28"/>
        <v>1005.75</v>
      </c>
      <c r="P62" s="30">
        <f t="shared" si="28"/>
        <v>1005.75</v>
      </c>
      <c r="Q62" s="30">
        <f t="shared" si="28"/>
        <v>1005.75</v>
      </c>
      <c r="R62" s="30">
        <f t="shared" si="28"/>
        <v>1005.75</v>
      </c>
      <c r="S62" s="33">
        <f t="shared" ref="S62:S69" si="29">SUM(G62:R62)</f>
        <v>12668.427</v>
      </c>
    </row>
    <row r="63" spans="1:19" s="23" customFormat="1" ht="13" x14ac:dyDescent="0.3">
      <c r="A63" s="28" t="s">
        <v>14</v>
      </c>
      <c r="B63" s="41"/>
      <c r="C63" s="28"/>
      <c r="D63" s="28"/>
      <c r="E63" s="28"/>
      <c r="F63" s="28"/>
      <c r="G63" s="30">
        <f t="shared" si="27"/>
        <v>0</v>
      </c>
      <c r="H63" s="30">
        <f t="shared" si="27"/>
        <v>0</v>
      </c>
      <c r="I63" s="30">
        <f t="shared" si="27"/>
        <v>0</v>
      </c>
      <c r="J63" s="30">
        <f t="shared" si="27"/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3">
        <f t="shared" si="29"/>
        <v>0</v>
      </c>
    </row>
    <row r="64" spans="1:19" s="23" customFormat="1" ht="13" x14ac:dyDescent="0.3">
      <c r="A64" s="28" t="s">
        <v>17</v>
      </c>
      <c r="B64" s="41"/>
      <c r="C64" s="28"/>
      <c r="D64" s="28"/>
      <c r="E64" s="28"/>
      <c r="F64" s="28"/>
      <c r="G64" s="30">
        <f t="shared" si="27"/>
        <v>0</v>
      </c>
      <c r="H64" s="30">
        <f t="shared" si="27"/>
        <v>0</v>
      </c>
      <c r="I64" s="30">
        <f t="shared" si="27"/>
        <v>0</v>
      </c>
      <c r="J64" s="30">
        <f t="shared" si="27"/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3">
        <f t="shared" si="29"/>
        <v>0</v>
      </c>
    </row>
    <row r="65" spans="1:19" s="23" customFormat="1" ht="13" x14ac:dyDescent="0.3">
      <c r="A65" s="28" t="s">
        <v>18</v>
      </c>
      <c r="B65" s="41"/>
      <c r="C65" s="28"/>
      <c r="D65" s="28"/>
      <c r="E65" s="28"/>
      <c r="F65" s="28"/>
      <c r="G65" s="30">
        <f t="shared" si="27"/>
        <v>0</v>
      </c>
      <c r="H65" s="30">
        <f t="shared" si="27"/>
        <v>0</v>
      </c>
      <c r="I65" s="30">
        <f t="shared" si="27"/>
        <v>0</v>
      </c>
      <c r="J65" s="30">
        <f t="shared" si="27"/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3">
        <f t="shared" si="29"/>
        <v>0</v>
      </c>
    </row>
    <row r="66" spans="1:19" s="23" customFormat="1" ht="13" x14ac:dyDescent="0.3">
      <c r="A66" s="28" t="s">
        <v>19</v>
      </c>
      <c r="B66" s="41"/>
      <c r="C66" s="28"/>
      <c r="D66" s="28"/>
      <c r="E66" s="28"/>
      <c r="F66" s="28"/>
      <c r="G66" s="30">
        <f t="shared" si="27"/>
        <v>0</v>
      </c>
      <c r="H66" s="30">
        <f t="shared" si="27"/>
        <v>0</v>
      </c>
      <c r="I66" s="30">
        <f t="shared" si="27"/>
        <v>0</v>
      </c>
      <c r="J66" s="30">
        <f t="shared" si="27"/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3">
        <f t="shared" si="29"/>
        <v>0</v>
      </c>
    </row>
    <row r="67" spans="1:19" s="23" customFormat="1" ht="13" x14ac:dyDescent="0.3">
      <c r="A67" s="28" t="s">
        <v>24</v>
      </c>
      <c r="B67" s="41"/>
      <c r="C67" s="28"/>
      <c r="D67" s="28"/>
      <c r="E67" s="28"/>
      <c r="F67" s="28"/>
      <c r="G67" s="30">
        <f t="shared" si="27"/>
        <v>0</v>
      </c>
      <c r="H67" s="30">
        <f t="shared" si="27"/>
        <v>0</v>
      </c>
      <c r="I67" s="30">
        <f t="shared" si="27"/>
        <v>0</v>
      </c>
      <c r="J67" s="30">
        <f t="shared" si="27"/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3">
        <f t="shared" si="29"/>
        <v>0</v>
      </c>
    </row>
    <row r="68" spans="1:19" s="23" customFormat="1" ht="13" x14ac:dyDescent="0.3">
      <c r="A68" s="28" t="s">
        <v>13</v>
      </c>
      <c r="B68" s="41">
        <v>0.45</v>
      </c>
      <c r="C68" s="28"/>
      <c r="D68" s="28"/>
      <c r="E68" s="28"/>
      <c r="F68" s="28"/>
      <c r="G68" s="30">
        <f t="shared" si="27"/>
        <v>1194.8309999999999</v>
      </c>
      <c r="H68" s="30">
        <f t="shared" si="27"/>
        <v>1194.8309999999999</v>
      </c>
      <c r="I68" s="30">
        <f t="shared" si="27"/>
        <v>1194.8309999999999</v>
      </c>
      <c r="J68" s="30">
        <f t="shared" si="27"/>
        <v>1194.8309999999999</v>
      </c>
      <c r="K68" s="30">
        <f t="shared" ref="K68" si="30">SUM($C$60:$D$60)/12*$B68/2+SUM($E$60/12/2*B68)</f>
        <v>848.85299999999995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3">
        <f t="shared" si="29"/>
        <v>5628.1769999999997</v>
      </c>
    </row>
    <row r="69" spans="1:19" s="23" customFormat="1" ht="13" x14ac:dyDescent="0.3">
      <c r="A69" s="28" t="s">
        <v>37</v>
      </c>
      <c r="B69" s="41">
        <v>-0.5</v>
      </c>
      <c r="C69" s="28"/>
      <c r="D69" s="28"/>
      <c r="E69" s="28"/>
      <c r="F69" s="28"/>
      <c r="G69" s="30">
        <f>SUM($C$60)/12*$B69</f>
        <v>-1117.5</v>
      </c>
      <c r="H69" s="30">
        <f t="shared" ref="H69:J69" si="31">SUM($C$60)/12*$B69</f>
        <v>-1117.5</v>
      </c>
      <c r="I69" s="30">
        <f t="shared" si="31"/>
        <v>-1117.5</v>
      </c>
      <c r="J69" s="30">
        <f t="shared" si="31"/>
        <v>-1117.5</v>
      </c>
      <c r="K69" s="30">
        <f>SUM($C$60)/12*$B69/2+SUM($E$60/12/2*B69)</f>
        <v>-838.125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3">
        <f t="shared" si="29"/>
        <v>-5308.125</v>
      </c>
    </row>
    <row r="70" spans="1:19" s="40" customFormat="1" ht="13.5" thickBot="1" x14ac:dyDescent="0.35">
      <c r="A70" s="36" t="s">
        <v>6</v>
      </c>
      <c r="B70" s="37"/>
      <c r="C70" s="36"/>
      <c r="D70" s="36"/>
      <c r="E70" s="36"/>
      <c r="F70" s="36"/>
      <c r="G70" s="38">
        <f>SUM(G61:G69)</f>
        <v>1272.1619999999998</v>
      </c>
      <c r="H70" s="38">
        <f t="shared" ref="H70:R70" si="32">SUM(H61:H69)</f>
        <v>1272.1619999999998</v>
      </c>
      <c r="I70" s="38">
        <f t="shared" si="32"/>
        <v>1272.1619999999998</v>
      </c>
      <c r="J70" s="38">
        <f t="shared" si="32"/>
        <v>1272.1619999999998</v>
      </c>
      <c r="K70" s="38">
        <f t="shared" si="32"/>
        <v>859.5809999999999</v>
      </c>
      <c r="L70" s="38">
        <f t="shared" si="32"/>
        <v>1005.75</v>
      </c>
      <c r="M70" s="38">
        <f t="shared" si="32"/>
        <v>1005.75</v>
      </c>
      <c r="N70" s="38">
        <f t="shared" si="32"/>
        <v>1005.75</v>
      </c>
      <c r="O70" s="38">
        <f t="shared" si="32"/>
        <v>1005.75</v>
      </c>
      <c r="P70" s="38">
        <f t="shared" si="32"/>
        <v>1005.75</v>
      </c>
      <c r="Q70" s="38">
        <f t="shared" si="32"/>
        <v>1005.75</v>
      </c>
      <c r="R70" s="38">
        <f t="shared" si="32"/>
        <v>1005.75</v>
      </c>
      <c r="S70" s="39">
        <f>SUM(S61:S67)</f>
        <v>12668.427</v>
      </c>
    </row>
    <row r="71" spans="1:19" ht="15" thickTop="1" x14ac:dyDescent="0.35"/>
    <row r="72" spans="1:19" s="47" customFormat="1" ht="13" x14ac:dyDescent="0.3">
      <c r="A72" s="43" t="s">
        <v>29</v>
      </c>
      <c r="B72" s="44">
        <v>0.1</v>
      </c>
      <c r="C72" s="43"/>
      <c r="D72" s="43"/>
      <c r="E72" s="43"/>
      <c r="F72" s="43"/>
      <c r="G72" s="45">
        <f>SUM($C$60:$D$60)/12*$B72</f>
        <v>265.51799999999997</v>
      </c>
      <c r="H72" s="45">
        <f t="shared" ref="H72:J72" si="33">SUM($C$60:$D$60)/12*$B72</f>
        <v>265.51799999999997</v>
      </c>
      <c r="I72" s="45">
        <f t="shared" si="33"/>
        <v>265.51799999999997</v>
      </c>
      <c r="J72" s="45">
        <f t="shared" si="33"/>
        <v>265.51799999999997</v>
      </c>
      <c r="K72" s="45">
        <f t="shared" ref="K72" si="34">SUM($C$60:$D$60)/12*$B72/2+SUM($E$60/12/2*B72)</f>
        <v>188.63399999999999</v>
      </c>
      <c r="L72" s="45">
        <f>SUM($E$60)/12*0.1</f>
        <v>111.75</v>
      </c>
      <c r="M72" s="45">
        <f t="shared" ref="M72:R72" si="35">SUM($E$60)/12*0.1</f>
        <v>111.75</v>
      </c>
      <c r="N72" s="45">
        <f t="shared" si="35"/>
        <v>111.75</v>
      </c>
      <c r="O72" s="45">
        <f t="shared" si="35"/>
        <v>111.75</v>
      </c>
      <c r="P72" s="45">
        <f t="shared" si="35"/>
        <v>111.75</v>
      </c>
      <c r="Q72" s="45">
        <f t="shared" si="35"/>
        <v>111.75</v>
      </c>
      <c r="R72" s="45">
        <f t="shared" si="35"/>
        <v>111.75</v>
      </c>
      <c r="S72" s="46">
        <f>SUM(G72:R72)</f>
        <v>2032.9559999999999</v>
      </c>
    </row>
    <row r="73" spans="1:19" s="23" customFormat="1" ht="13" x14ac:dyDescent="0.3">
      <c r="A73" s="28"/>
      <c r="B73" s="49"/>
      <c r="C73" s="28"/>
      <c r="D73" s="28"/>
      <c r="E73" s="28"/>
      <c r="F73" s="28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3"/>
    </row>
    <row r="74" spans="1:19" s="23" customFormat="1" ht="13" x14ac:dyDescent="0.3">
      <c r="A74" s="29" t="s">
        <v>36</v>
      </c>
      <c r="B74" s="31"/>
      <c r="C74" s="30">
        <v>26000</v>
      </c>
      <c r="D74" s="30">
        <f>C74*0.188</f>
        <v>4888</v>
      </c>
      <c r="E74" s="30">
        <f>C74/2</f>
        <v>13000</v>
      </c>
      <c r="F74" s="30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32"/>
    </row>
    <row r="75" spans="1:19" s="23" customFormat="1" ht="13" x14ac:dyDescent="0.3">
      <c r="A75" s="28" t="s">
        <v>11</v>
      </c>
      <c r="B75" s="41"/>
      <c r="C75" s="28"/>
      <c r="D75" s="28"/>
      <c r="E75" s="28"/>
      <c r="F75" s="28"/>
      <c r="G75" s="30">
        <f>SUM($C$74:$D$74)/12*$B75</f>
        <v>0</v>
      </c>
      <c r="H75" s="30">
        <f t="shared" ref="H75:J75" si="36">SUM($C$74:$D$74)/12*$B75</f>
        <v>0</v>
      </c>
      <c r="I75" s="30">
        <f t="shared" si="36"/>
        <v>0</v>
      </c>
      <c r="J75" s="30">
        <f t="shared" si="36"/>
        <v>0</v>
      </c>
      <c r="K75" s="30">
        <f>SUM($C$74:$D$74)/12*$B75/2+SUM($E$74/12/2*B75)</f>
        <v>0</v>
      </c>
      <c r="L75" s="30">
        <f>SUM($E$74)/12*$B75</f>
        <v>0</v>
      </c>
      <c r="M75" s="30">
        <f t="shared" ref="M75:R75" si="37">SUM($E$74)/12*$B75</f>
        <v>0</v>
      </c>
      <c r="N75" s="30">
        <f t="shared" si="37"/>
        <v>0</v>
      </c>
      <c r="O75" s="30">
        <f t="shared" si="37"/>
        <v>0</v>
      </c>
      <c r="P75" s="30">
        <f t="shared" si="37"/>
        <v>0</v>
      </c>
      <c r="Q75" s="30">
        <f t="shared" si="37"/>
        <v>0</v>
      </c>
      <c r="R75" s="30">
        <f t="shared" si="37"/>
        <v>0</v>
      </c>
      <c r="S75" s="33">
        <f>SUM(G75:R75)</f>
        <v>0</v>
      </c>
    </row>
    <row r="76" spans="1:19" s="23" customFormat="1" ht="13" x14ac:dyDescent="0.3">
      <c r="A76" s="28" t="s">
        <v>12</v>
      </c>
      <c r="B76" s="41">
        <v>0.5</v>
      </c>
      <c r="C76" s="28"/>
      <c r="D76" s="28"/>
      <c r="E76" s="28"/>
      <c r="F76" s="28"/>
      <c r="G76" s="30">
        <f t="shared" ref="G76:J82" si="38">SUM($C$74:$D$74)/12*$B76</f>
        <v>1287</v>
      </c>
      <c r="H76" s="30">
        <f t="shared" si="38"/>
        <v>1287</v>
      </c>
      <c r="I76" s="30">
        <f t="shared" si="38"/>
        <v>1287</v>
      </c>
      <c r="J76" s="30">
        <f t="shared" si="38"/>
        <v>1287</v>
      </c>
      <c r="K76" s="30">
        <f t="shared" ref="K76:K82" si="39">SUM($C$74:$D$74)/12*$B76/2+SUM($E$74/12/2*B76)</f>
        <v>914.33333333333326</v>
      </c>
      <c r="L76" s="30">
        <f t="shared" ref="L76:R82" si="40">SUM($E$74)/12*$B76</f>
        <v>541.66666666666663</v>
      </c>
      <c r="M76" s="30">
        <f t="shared" si="40"/>
        <v>541.66666666666663</v>
      </c>
      <c r="N76" s="30">
        <f t="shared" si="40"/>
        <v>541.66666666666663</v>
      </c>
      <c r="O76" s="30">
        <f t="shared" si="40"/>
        <v>541.66666666666663</v>
      </c>
      <c r="P76" s="30">
        <f t="shared" si="40"/>
        <v>541.66666666666663</v>
      </c>
      <c r="Q76" s="30">
        <f t="shared" si="40"/>
        <v>541.66666666666663</v>
      </c>
      <c r="R76" s="30">
        <f t="shared" si="40"/>
        <v>541.66666666666663</v>
      </c>
      <c r="S76" s="33">
        <f t="shared" ref="S76:S83" si="41">SUM(G76:R76)</f>
        <v>9853.9999999999982</v>
      </c>
    </row>
    <row r="77" spans="1:19" s="23" customFormat="1" ht="13" x14ac:dyDescent="0.3">
      <c r="A77" s="28" t="s">
        <v>14</v>
      </c>
      <c r="B77" s="41"/>
      <c r="C77" s="28"/>
      <c r="D77" s="28"/>
      <c r="E77" s="28"/>
      <c r="F77" s="28"/>
      <c r="G77" s="30">
        <f t="shared" si="38"/>
        <v>0</v>
      </c>
      <c r="H77" s="30">
        <f t="shared" si="38"/>
        <v>0</v>
      </c>
      <c r="I77" s="30">
        <f t="shared" si="38"/>
        <v>0</v>
      </c>
      <c r="J77" s="30">
        <f t="shared" si="38"/>
        <v>0</v>
      </c>
      <c r="K77" s="30">
        <f t="shared" si="39"/>
        <v>0</v>
      </c>
      <c r="L77" s="30">
        <f t="shared" si="40"/>
        <v>0</v>
      </c>
      <c r="M77" s="30">
        <f t="shared" si="40"/>
        <v>0</v>
      </c>
      <c r="N77" s="30">
        <f t="shared" si="40"/>
        <v>0</v>
      </c>
      <c r="O77" s="30">
        <f t="shared" si="40"/>
        <v>0</v>
      </c>
      <c r="P77" s="30">
        <f t="shared" si="40"/>
        <v>0</v>
      </c>
      <c r="Q77" s="30">
        <f t="shared" si="40"/>
        <v>0</v>
      </c>
      <c r="R77" s="30">
        <f t="shared" si="40"/>
        <v>0</v>
      </c>
      <c r="S77" s="33">
        <f t="shared" si="41"/>
        <v>0</v>
      </c>
    </row>
    <row r="78" spans="1:19" s="23" customFormat="1" ht="13" x14ac:dyDescent="0.3">
      <c r="A78" s="28" t="s">
        <v>17</v>
      </c>
      <c r="B78" s="41"/>
      <c r="C78" s="28"/>
      <c r="D78" s="28"/>
      <c r="E78" s="28"/>
      <c r="F78" s="28"/>
      <c r="G78" s="30">
        <f t="shared" si="38"/>
        <v>0</v>
      </c>
      <c r="H78" s="30">
        <f t="shared" si="38"/>
        <v>0</v>
      </c>
      <c r="I78" s="30">
        <f t="shared" si="38"/>
        <v>0</v>
      </c>
      <c r="J78" s="30">
        <f t="shared" si="38"/>
        <v>0</v>
      </c>
      <c r="K78" s="30">
        <f t="shared" si="39"/>
        <v>0</v>
      </c>
      <c r="L78" s="30">
        <f t="shared" si="40"/>
        <v>0</v>
      </c>
      <c r="M78" s="30">
        <f t="shared" si="40"/>
        <v>0</v>
      </c>
      <c r="N78" s="30">
        <f t="shared" si="40"/>
        <v>0</v>
      </c>
      <c r="O78" s="30">
        <f t="shared" si="40"/>
        <v>0</v>
      </c>
      <c r="P78" s="30">
        <f t="shared" si="40"/>
        <v>0</v>
      </c>
      <c r="Q78" s="30">
        <f t="shared" si="40"/>
        <v>0</v>
      </c>
      <c r="R78" s="30">
        <f t="shared" si="40"/>
        <v>0</v>
      </c>
      <c r="S78" s="33">
        <f t="shared" si="41"/>
        <v>0</v>
      </c>
    </row>
    <row r="79" spans="1:19" s="23" customFormat="1" ht="13" x14ac:dyDescent="0.3">
      <c r="A79" s="28" t="s">
        <v>18</v>
      </c>
      <c r="B79" s="41"/>
      <c r="C79" s="28"/>
      <c r="D79" s="28"/>
      <c r="E79" s="28"/>
      <c r="F79" s="28"/>
      <c r="G79" s="30">
        <f t="shared" si="38"/>
        <v>0</v>
      </c>
      <c r="H79" s="30">
        <f t="shared" si="38"/>
        <v>0</v>
      </c>
      <c r="I79" s="30">
        <f t="shared" si="38"/>
        <v>0</v>
      </c>
      <c r="J79" s="30">
        <f t="shared" si="38"/>
        <v>0</v>
      </c>
      <c r="K79" s="30">
        <f t="shared" si="39"/>
        <v>0</v>
      </c>
      <c r="L79" s="30">
        <f t="shared" si="40"/>
        <v>0</v>
      </c>
      <c r="M79" s="30">
        <f t="shared" si="40"/>
        <v>0</v>
      </c>
      <c r="N79" s="30">
        <f t="shared" si="40"/>
        <v>0</v>
      </c>
      <c r="O79" s="30">
        <f t="shared" si="40"/>
        <v>0</v>
      </c>
      <c r="P79" s="30">
        <f t="shared" si="40"/>
        <v>0</v>
      </c>
      <c r="Q79" s="30">
        <f t="shared" si="40"/>
        <v>0</v>
      </c>
      <c r="R79" s="30">
        <f t="shared" si="40"/>
        <v>0</v>
      </c>
      <c r="S79" s="33">
        <f t="shared" si="41"/>
        <v>0</v>
      </c>
    </row>
    <row r="80" spans="1:19" s="23" customFormat="1" ht="13" x14ac:dyDescent="0.3">
      <c r="A80" s="28" t="s">
        <v>19</v>
      </c>
      <c r="B80" s="41"/>
      <c r="C80" s="28"/>
      <c r="D80" s="28"/>
      <c r="E80" s="28"/>
      <c r="F80" s="28"/>
      <c r="G80" s="30">
        <f t="shared" si="38"/>
        <v>0</v>
      </c>
      <c r="H80" s="30">
        <f t="shared" si="38"/>
        <v>0</v>
      </c>
      <c r="I80" s="30">
        <f t="shared" si="38"/>
        <v>0</v>
      </c>
      <c r="J80" s="30">
        <f t="shared" si="38"/>
        <v>0</v>
      </c>
      <c r="K80" s="30">
        <f t="shared" si="39"/>
        <v>0</v>
      </c>
      <c r="L80" s="30">
        <f t="shared" si="40"/>
        <v>0</v>
      </c>
      <c r="M80" s="30">
        <f t="shared" si="40"/>
        <v>0</v>
      </c>
      <c r="N80" s="30">
        <f t="shared" si="40"/>
        <v>0</v>
      </c>
      <c r="O80" s="30">
        <f t="shared" si="40"/>
        <v>0</v>
      </c>
      <c r="P80" s="30">
        <f t="shared" si="40"/>
        <v>0</v>
      </c>
      <c r="Q80" s="30">
        <f t="shared" si="40"/>
        <v>0</v>
      </c>
      <c r="R80" s="30">
        <f t="shared" si="40"/>
        <v>0</v>
      </c>
      <c r="S80" s="33">
        <f t="shared" si="41"/>
        <v>0</v>
      </c>
    </row>
    <row r="81" spans="1:19" s="23" customFormat="1" ht="13" x14ac:dyDescent="0.3">
      <c r="A81" s="28" t="s">
        <v>24</v>
      </c>
      <c r="B81" s="41"/>
      <c r="C81" s="28"/>
      <c r="D81" s="28"/>
      <c r="E81" s="28"/>
      <c r="F81" s="28"/>
      <c r="G81" s="30">
        <f t="shared" si="38"/>
        <v>0</v>
      </c>
      <c r="H81" s="30">
        <f t="shared" si="38"/>
        <v>0</v>
      </c>
      <c r="I81" s="30">
        <f t="shared" si="38"/>
        <v>0</v>
      </c>
      <c r="J81" s="30">
        <f t="shared" si="38"/>
        <v>0</v>
      </c>
      <c r="K81" s="30">
        <f t="shared" si="39"/>
        <v>0</v>
      </c>
      <c r="L81" s="30">
        <f t="shared" si="40"/>
        <v>0</v>
      </c>
      <c r="M81" s="30">
        <f t="shared" si="40"/>
        <v>0</v>
      </c>
      <c r="N81" s="30">
        <f t="shared" si="40"/>
        <v>0</v>
      </c>
      <c r="O81" s="30">
        <f t="shared" si="40"/>
        <v>0</v>
      </c>
      <c r="P81" s="30">
        <f t="shared" si="40"/>
        <v>0</v>
      </c>
      <c r="Q81" s="30">
        <f t="shared" si="40"/>
        <v>0</v>
      </c>
      <c r="R81" s="30">
        <f t="shared" si="40"/>
        <v>0</v>
      </c>
      <c r="S81" s="33">
        <f t="shared" si="41"/>
        <v>0</v>
      </c>
    </row>
    <row r="82" spans="1:19" s="23" customFormat="1" ht="13" x14ac:dyDescent="0.3">
      <c r="A82" s="28" t="s">
        <v>13</v>
      </c>
      <c r="B82" s="41">
        <v>0.5</v>
      </c>
      <c r="C82" s="28"/>
      <c r="D82" s="28"/>
      <c r="E82" s="28"/>
      <c r="F82" s="28"/>
      <c r="G82" s="30">
        <f t="shared" si="38"/>
        <v>1287</v>
      </c>
      <c r="H82" s="30">
        <f t="shared" si="38"/>
        <v>1287</v>
      </c>
      <c r="I82" s="30">
        <f t="shared" si="38"/>
        <v>1287</v>
      </c>
      <c r="J82" s="30">
        <f t="shared" si="38"/>
        <v>1287</v>
      </c>
      <c r="K82" s="30">
        <f t="shared" si="39"/>
        <v>914.33333333333326</v>
      </c>
      <c r="L82" s="30">
        <f t="shared" si="40"/>
        <v>541.66666666666663</v>
      </c>
      <c r="M82" s="30">
        <f t="shared" si="40"/>
        <v>541.66666666666663</v>
      </c>
      <c r="N82" s="30">
        <f t="shared" si="40"/>
        <v>541.66666666666663</v>
      </c>
      <c r="O82" s="30">
        <f t="shared" si="40"/>
        <v>541.66666666666663</v>
      </c>
      <c r="P82" s="30">
        <f t="shared" si="40"/>
        <v>541.66666666666663</v>
      </c>
      <c r="Q82" s="30">
        <f t="shared" si="40"/>
        <v>541.66666666666663</v>
      </c>
      <c r="R82" s="30">
        <f t="shared" si="40"/>
        <v>541.66666666666663</v>
      </c>
      <c r="S82" s="33">
        <f t="shared" si="41"/>
        <v>9853.9999999999982</v>
      </c>
    </row>
    <row r="83" spans="1:19" s="23" customFormat="1" ht="13" x14ac:dyDescent="0.3">
      <c r="A83" s="28" t="s">
        <v>37</v>
      </c>
      <c r="B83" s="41">
        <v>-0.5</v>
      </c>
      <c r="C83" s="28"/>
      <c r="D83" s="28"/>
      <c r="E83" s="28"/>
      <c r="F83" s="28"/>
      <c r="G83" s="30">
        <f>SUM($C$74)/12*$B83</f>
        <v>-1083.3333333333333</v>
      </c>
      <c r="H83" s="30">
        <f t="shared" ref="H83:J83" si="42">SUM($C$74)/12*$B83</f>
        <v>-1083.3333333333333</v>
      </c>
      <c r="I83" s="30">
        <f t="shared" si="42"/>
        <v>-1083.3333333333333</v>
      </c>
      <c r="J83" s="30">
        <f t="shared" si="42"/>
        <v>-1083.3333333333333</v>
      </c>
      <c r="K83" s="30">
        <f>SUM($C$74)/12*$B83/2+SUM($E$74/12/2*B83)</f>
        <v>-812.5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3">
        <f t="shared" si="41"/>
        <v>-5145.833333333333</v>
      </c>
    </row>
    <row r="84" spans="1:19" s="40" customFormat="1" ht="13.5" thickBot="1" x14ac:dyDescent="0.35">
      <c r="A84" s="36" t="s">
        <v>6</v>
      </c>
      <c r="B84" s="37"/>
      <c r="C84" s="36"/>
      <c r="D84" s="36"/>
      <c r="E84" s="36"/>
      <c r="F84" s="36"/>
      <c r="G84" s="38">
        <f>SUM(G75:G83)</f>
        <v>1490.6666666666667</v>
      </c>
      <c r="H84" s="38">
        <f t="shared" ref="H84:R84" si="43">SUM(H75:H83)</f>
        <v>1490.6666666666667</v>
      </c>
      <c r="I84" s="38">
        <f t="shared" si="43"/>
        <v>1490.6666666666667</v>
      </c>
      <c r="J84" s="38">
        <f t="shared" si="43"/>
        <v>1490.6666666666667</v>
      </c>
      <c r="K84" s="38">
        <f t="shared" si="43"/>
        <v>1016.1666666666665</v>
      </c>
      <c r="L84" s="38">
        <f t="shared" si="43"/>
        <v>1083.3333333333333</v>
      </c>
      <c r="M84" s="38">
        <f t="shared" si="43"/>
        <v>1083.3333333333333</v>
      </c>
      <c r="N84" s="38">
        <f t="shared" si="43"/>
        <v>1083.3333333333333</v>
      </c>
      <c r="O84" s="38">
        <f t="shared" si="43"/>
        <v>1083.3333333333333</v>
      </c>
      <c r="P84" s="38">
        <f t="shared" si="43"/>
        <v>1083.3333333333333</v>
      </c>
      <c r="Q84" s="38">
        <f t="shared" si="43"/>
        <v>1083.3333333333333</v>
      </c>
      <c r="R84" s="38">
        <f t="shared" si="43"/>
        <v>1083.3333333333333</v>
      </c>
      <c r="S84" s="39">
        <f>SUM(S75:S81)</f>
        <v>9853.9999999999982</v>
      </c>
    </row>
    <row r="85" spans="1:19" ht="15" thickTop="1" x14ac:dyDescent="0.35"/>
    <row r="86" spans="1:19" s="23" customFormat="1" ht="13" x14ac:dyDescent="0.3">
      <c r="A86" s="28"/>
      <c r="B86" s="49"/>
      <c r="C86" s="28"/>
      <c r="D86" s="28"/>
      <c r="E86" s="28"/>
      <c r="F86" s="28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3"/>
    </row>
    <row r="87" spans="1:19" s="23" customFormat="1" ht="13" x14ac:dyDescent="0.3">
      <c r="A87" s="28"/>
      <c r="B87" s="49"/>
      <c r="C87" s="28"/>
      <c r="D87" s="28"/>
      <c r="E87" s="28"/>
      <c r="F87" s="28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3"/>
    </row>
    <row r="88" spans="1:19" s="23" customFormat="1" ht="13" x14ac:dyDescent="0.3">
      <c r="A88" s="28"/>
      <c r="B88" s="49"/>
      <c r="C88" s="28"/>
      <c r="D88" s="28"/>
      <c r="E88" s="28"/>
      <c r="F88" s="28"/>
      <c r="G88" s="30">
        <f>G12+G23+G33+G45+G58+G70+G84</f>
        <v>18781.028666666669</v>
      </c>
      <c r="H88" s="30">
        <f t="shared" ref="H88:R88" si="44">H12+H23+H33+H45+H58+H70+H84</f>
        <v>18781.028666666669</v>
      </c>
      <c r="I88" s="30">
        <f t="shared" si="44"/>
        <v>18781.028666666669</v>
      </c>
      <c r="J88" s="30">
        <f t="shared" si="44"/>
        <v>21157.028666666669</v>
      </c>
      <c r="K88" s="30">
        <f t="shared" si="44"/>
        <v>17893.947666666667</v>
      </c>
      <c r="L88" s="30">
        <f>L12+L23+L33+L45+L58+L70+L84</f>
        <v>13011.083333333334</v>
      </c>
      <c r="M88" s="30">
        <f t="shared" si="44"/>
        <v>11526.083333333334</v>
      </c>
      <c r="N88" s="30">
        <f t="shared" si="44"/>
        <v>11526.083333333334</v>
      </c>
      <c r="O88" s="30">
        <f t="shared" si="44"/>
        <v>11526.083333333334</v>
      </c>
      <c r="P88" s="30">
        <f t="shared" si="44"/>
        <v>11526.083333333334</v>
      </c>
      <c r="Q88" s="30">
        <f t="shared" si="44"/>
        <v>11526.083333333334</v>
      </c>
      <c r="R88" s="30">
        <f t="shared" si="44"/>
        <v>11526.083333333334</v>
      </c>
      <c r="S88" s="33"/>
    </row>
    <row r="89" spans="1:19" s="23" customFormat="1" ht="13" x14ac:dyDescent="0.3">
      <c r="A89" s="28"/>
      <c r="B89" s="49"/>
      <c r="C89" s="28"/>
      <c r="D89" s="28"/>
      <c r="E89" s="28"/>
      <c r="F89" s="28"/>
      <c r="G89" s="30">
        <f>SUM(G5+G16+G27+G39+G52+G62+G76)*-1</f>
        <v>-6535.8810000000003</v>
      </c>
      <c r="H89" s="30">
        <f t="shared" ref="H89:R89" si="45">SUM(H5+H16+H27+H39+H52+H62+H76)*-1</f>
        <v>-6535.8810000000003</v>
      </c>
      <c r="I89" s="30">
        <f t="shared" si="45"/>
        <v>-6535.8810000000003</v>
      </c>
      <c r="J89" s="30">
        <f t="shared" si="45"/>
        <v>-6595.2809999999999</v>
      </c>
      <c r="K89" s="30">
        <f t="shared" si="45"/>
        <v>-5817.2363333333333</v>
      </c>
      <c r="L89" s="30">
        <f t="shared" si="45"/>
        <v>-4383.9666666666672</v>
      </c>
      <c r="M89" s="30">
        <f t="shared" si="45"/>
        <v>-3641.4666666666667</v>
      </c>
      <c r="N89" s="30">
        <f t="shared" si="45"/>
        <v>-3641.4666666666667</v>
      </c>
      <c r="O89" s="30">
        <f t="shared" si="45"/>
        <v>-3641.4666666666667</v>
      </c>
      <c r="P89" s="30">
        <f t="shared" si="45"/>
        <v>-3641.4666666666667</v>
      </c>
      <c r="Q89" s="30">
        <f t="shared" si="45"/>
        <v>-3641.4666666666667</v>
      </c>
      <c r="R89" s="30">
        <f t="shared" si="45"/>
        <v>-3641.4666666666667</v>
      </c>
      <c r="S89" s="33"/>
    </row>
    <row r="90" spans="1:19" s="23" customFormat="1" ht="13.5" thickBot="1" x14ac:dyDescent="0.35">
      <c r="A90" s="28"/>
      <c r="B90" s="49"/>
      <c r="C90" s="28"/>
      <c r="D90" s="28"/>
      <c r="E90" s="28"/>
      <c r="F90" s="28"/>
      <c r="G90" s="55">
        <f>SUM(G88:G89)</f>
        <v>12245.147666666668</v>
      </c>
      <c r="H90" s="55">
        <f t="shared" ref="H90:R90" si="46">SUM(H88:H89)</f>
        <v>12245.147666666668</v>
      </c>
      <c r="I90" s="55">
        <f t="shared" si="46"/>
        <v>12245.147666666668</v>
      </c>
      <c r="J90" s="55">
        <f t="shared" si="46"/>
        <v>14561.74766666667</v>
      </c>
      <c r="K90" s="55">
        <f t="shared" si="46"/>
        <v>12076.711333333333</v>
      </c>
      <c r="L90" s="55">
        <f t="shared" si="46"/>
        <v>8627.1166666666668</v>
      </c>
      <c r="M90" s="55">
        <f t="shared" si="46"/>
        <v>7884.6166666666668</v>
      </c>
      <c r="N90" s="55">
        <f t="shared" si="46"/>
        <v>7884.6166666666668</v>
      </c>
      <c r="O90" s="55">
        <f t="shared" si="46"/>
        <v>7884.6166666666668</v>
      </c>
      <c r="P90" s="55">
        <f t="shared" si="46"/>
        <v>7884.6166666666668</v>
      </c>
      <c r="Q90" s="55">
        <f t="shared" si="46"/>
        <v>7884.6166666666668</v>
      </c>
      <c r="R90" s="56">
        <f t="shared" si="46"/>
        <v>7884.6166666666668</v>
      </c>
      <c r="S90" s="33"/>
    </row>
    <row r="91" spans="1:19" s="23" customFormat="1" ht="13.5" thickTop="1" x14ac:dyDescent="0.3">
      <c r="A91" s="28"/>
      <c r="B91" s="49"/>
      <c r="C91" s="28"/>
      <c r="D91" s="28"/>
      <c r="E91" s="28"/>
      <c r="F91" s="28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3"/>
    </row>
    <row r="92" spans="1:19" s="23" customFormat="1" ht="13" x14ac:dyDescent="0.3">
      <c r="A92" s="28"/>
      <c r="B92" s="49"/>
      <c r="C92" s="28"/>
      <c r="D92" s="28"/>
      <c r="E92" s="28"/>
      <c r="F92" s="28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3"/>
    </row>
    <row r="93" spans="1:19" s="23" customFormat="1" ht="13" x14ac:dyDescent="0.3">
      <c r="A93" s="28"/>
      <c r="B93" s="49"/>
      <c r="C93" s="28"/>
      <c r="D93" s="28"/>
      <c r="E93" s="28"/>
      <c r="F93" s="28"/>
      <c r="G93" s="30"/>
      <c r="H93" s="64" t="s">
        <v>41</v>
      </c>
      <c r="I93" s="64">
        <f>95000+16000</f>
        <v>111000</v>
      </c>
      <c r="J93" s="30"/>
      <c r="K93" s="30"/>
      <c r="L93" s="30"/>
      <c r="M93" s="30"/>
      <c r="N93" s="30"/>
      <c r="O93" s="30"/>
      <c r="P93" s="30"/>
      <c r="Q93" s="30"/>
      <c r="R93" s="30"/>
      <c r="S93" s="33"/>
    </row>
    <row r="94" spans="1:19" s="23" customFormat="1" ht="13" x14ac:dyDescent="0.3">
      <c r="A94" s="28"/>
      <c r="B94" s="49"/>
      <c r="C94" s="28"/>
      <c r="D94" s="28"/>
      <c r="E94" s="28"/>
      <c r="F94" s="28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3"/>
    </row>
    <row r="95" spans="1:19" s="23" customFormat="1" ht="13" x14ac:dyDescent="0.3">
      <c r="A95" s="28"/>
      <c r="B95" s="49"/>
      <c r="C95" s="28"/>
      <c r="D95" s="28"/>
      <c r="E95" s="28"/>
      <c r="F95" s="28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3"/>
    </row>
    <row r="96" spans="1:19" s="23" customFormat="1" ht="13" x14ac:dyDescent="0.3">
      <c r="A96" s="28"/>
      <c r="B96" s="49"/>
      <c r="C96" s="28"/>
      <c r="D96" s="28"/>
      <c r="E96" s="28"/>
      <c r="F96" s="28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3"/>
    </row>
    <row r="98" spans="1:19" x14ac:dyDescent="0.35">
      <c r="A98" s="27"/>
    </row>
    <row r="99" spans="1:19" x14ac:dyDescent="0.35">
      <c r="A99" s="28"/>
      <c r="B99" s="49"/>
      <c r="C99" s="30"/>
      <c r="D99" s="52"/>
      <c r="F99" s="50"/>
      <c r="H99" s="50"/>
      <c r="L99" s="30"/>
    </row>
    <row r="100" spans="1:19" s="23" customFormat="1" ht="13" x14ac:dyDescent="0.3">
      <c r="A100" s="28"/>
      <c r="B100" s="49"/>
      <c r="C100" s="30"/>
      <c r="D100" s="52"/>
      <c r="E100" s="28"/>
      <c r="F100" s="28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3"/>
    </row>
    <row r="101" spans="1:19" s="23" customFormat="1" ht="13" x14ac:dyDescent="0.3">
      <c r="A101" s="28"/>
      <c r="B101" s="49"/>
      <c r="C101" s="30"/>
      <c r="D101" s="52"/>
      <c r="E101" s="28"/>
      <c r="F101" s="28"/>
      <c r="G101" s="53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3"/>
    </row>
    <row r="102" spans="1:19" s="23" customFormat="1" ht="13" x14ac:dyDescent="0.3">
      <c r="A102" s="28"/>
      <c r="B102" s="49"/>
      <c r="C102" s="30"/>
      <c r="D102" s="52"/>
      <c r="E102" s="28"/>
      <c r="F102" s="28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3"/>
    </row>
    <row r="103" spans="1:19" s="23" customFormat="1" ht="13" x14ac:dyDescent="0.3">
      <c r="A103" s="28"/>
      <c r="B103" s="49"/>
      <c r="C103" s="30"/>
      <c r="D103" s="52"/>
      <c r="E103" s="28"/>
      <c r="F103" s="28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3"/>
    </row>
    <row r="104" spans="1:19" s="23" customFormat="1" ht="13" x14ac:dyDescent="0.3">
      <c r="A104" s="28"/>
      <c r="B104" s="49"/>
      <c r="C104" s="30"/>
      <c r="D104" s="52"/>
      <c r="E104" s="28"/>
      <c r="F104" s="28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3"/>
    </row>
  </sheetData>
  <mergeCells count="2">
    <mergeCell ref="C1:D1"/>
    <mergeCell ref="E1:F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CBD6-85C8-4AE3-8749-27C512DD877E}">
  <dimension ref="A1:O11"/>
  <sheetViews>
    <sheetView workbookViewId="0">
      <selection activeCell="B3" sqref="B3"/>
    </sheetView>
  </sheetViews>
  <sheetFormatPr defaultRowHeight="14.5" x14ac:dyDescent="0.35"/>
  <cols>
    <col min="1" max="1" width="18.36328125" bestFit="1" customWidth="1"/>
    <col min="3" max="15" width="11.7265625" customWidth="1"/>
  </cols>
  <sheetData>
    <row r="1" spans="1:15" x14ac:dyDescent="0.35">
      <c r="A1" s="2"/>
      <c r="B1" s="24"/>
      <c r="C1" s="2" t="s">
        <v>0</v>
      </c>
      <c r="D1" s="2" t="s">
        <v>0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3"/>
    </row>
    <row r="2" spans="1:15" x14ac:dyDescent="0.35">
      <c r="A2" s="4" t="s">
        <v>15</v>
      </c>
      <c r="B2" s="24" t="s">
        <v>20</v>
      </c>
      <c r="C2" s="4">
        <v>45931</v>
      </c>
      <c r="D2" s="4">
        <v>45962</v>
      </c>
      <c r="E2" s="4">
        <v>45992</v>
      </c>
      <c r="F2" s="4">
        <v>46023</v>
      </c>
      <c r="G2" s="4">
        <v>46054</v>
      </c>
      <c r="H2" s="4">
        <v>46082</v>
      </c>
      <c r="I2" s="4">
        <v>46113</v>
      </c>
      <c r="J2" s="4">
        <v>46143</v>
      </c>
      <c r="K2" s="4">
        <v>46174</v>
      </c>
      <c r="L2" s="4">
        <v>46204</v>
      </c>
      <c r="M2" s="4">
        <v>46235</v>
      </c>
      <c r="N2" s="4">
        <v>46266</v>
      </c>
      <c r="O2" s="5" t="s">
        <v>2</v>
      </c>
    </row>
    <row r="3" spans="1:15" x14ac:dyDescent="0.35">
      <c r="A3" s="29"/>
      <c r="B3" s="57">
        <f>30000/12</f>
        <v>2500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2"/>
    </row>
    <row r="4" spans="1:15" x14ac:dyDescent="0.35">
      <c r="A4" s="29"/>
      <c r="B4" s="5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32"/>
    </row>
    <row r="5" spans="1:15" x14ac:dyDescent="0.35">
      <c r="A5" s="28" t="s">
        <v>11</v>
      </c>
      <c r="B5" s="41">
        <f t="shared" ref="B5:B6" si="0">0.5/3</f>
        <v>0.16666666666666666</v>
      </c>
      <c r="C5" s="30"/>
      <c r="D5" s="30"/>
      <c r="E5" s="30"/>
      <c r="F5" s="30"/>
      <c r="G5" s="30"/>
      <c r="H5" s="30"/>
      <c r="I5" s="30">
        <f t="shared" ref="I5:N8" si="1">$B$3*$B5</f>
        <v>416.66666666666663</v>
      </c>
      <c r="J5" s="30">
        <f t="shared" si="1"/>
        <v>416.66666666666663</v>
      </c>
      <c r="K5" s="30">
        <f t="shared" si="1"/>
        <v>416.66666666666663</v>
      </c>
      <c r="L5" s="30">
        <f t="shared" si="1"/>
        <v>416.66666666666663</v>
      </c>
      <c r="M5" s="30">
        <f t="shared" si="1"/>
        <v>416.66666666666663</v>
      </c>
      <c r="N5" s="30">
        <f t="shared" si="1"/>
        <v>416.66666666666663</v>
      </c>
      <c r="O5" s="33">
        <f>SUM(C5:N5)</f>
        <v>2499.9999999999995</v>
      </c>
    </row>
    <row r="6" spans="1:15" x14ac:dyDescent="0.35">
      <c r="A6" s="28" t="s">
        <v>17</v>
      </c>
      <c r="B6" s="41">
        <f t="shared" si="0"/>
        <v>0.16666666666666666</v>
      </c>
      <c r="C6" s="30"/>
      <c r="D6" s="30"/>
      <c r="E6" s="30"/>
      <c r="F6" s="30"/>
      <c r="G6" s="30"/>
      <c r="H6" s="30"/>
      <c r="I6" s="30">
        <f t="shared" si="1"/>
        <v>416.66666666666663</v>
      </c>
      <c r="J6" s="30">
        <f t="shared" si="1"/>
        <v>416.66666666666663</v>
      </c>
      <c r="K6" s="30">
        <f t="shared" si="1"/>
        <v>416.66666666666663</v>
      </c>
      <c r="L6" s="30">
        <f t="shared" si="1"/>
        <v>416.66666666666663</v>
      </c>
      <c r="M6" s="30">
        <f t="shared" si="1"/>
        <v>416.66666666666663</v>
      </c>
      <c r="N6" s="30">
        <f t="shared" si="1"/>
        <v>416.66666666666663</v>
      </c>
      <c r="O6" s="33">
        <f t="shared" ref="O6:O8" si="2">SUM(C6:N6)</f>
        <v>2499.9999999999995</v>
      </c>
    </row>
    <row r="7" spans="1:15" x14ac:dyDescent="0.35">
      <c r="A7" s="28" t="s">
        <v>18</v>
      </c>
      <c r="B7" s="41">
        <f>0.5/3</f>
        <v>0.16666666666666666</v>
      </c>
      <c r="C7" s="30"/>
      <c r="D7" s="30"/>
      <c r="E7" s="30"/>
      <c r="F7" s="30"/>
      <c r="G7" s="30"/>
      <c r="H7" s="30"/>
      <c r="I7" s="30">
        <f t="shared" si="1"/>
        <v>416.66666666666663</v>
      </c>
      <c r="J7" s="30">
        <f t="shared" si="1"/>
        <v>416.66666666666663</v>
      </c>
      <c r="K7" s="30">
        <f t="shared" si="1"/>
        <v>416.66666666666663</v>
      </c>
      <c r="L7" s="30">
        <f t="shared" si="1"/>
        <v>416.66666666666663</v>
      </c>
      <c r="M7" s="30">
        <f t="shared" si="1"/>
        <v>416.66666666666663</v>
      </c>
      <c r="N7" s="30">
        <f t="shared" si="1"/>
        <v>416.66666666666663</v>
      </c>
      <c r="O7" s="33">
        <f t="shared" si="2"/>
        <v>2499.9999999999995</v>
      </c>
    </row>
    <row r="8" spans="1:15" x14ac:dyDescent="0.35">
      <c r="A8" s="28" t="s">
        <v>14</v>
      </c>
      <c r="B8" s="41">
        <v>0.5</v>
      </c>
      <c r="C8" s="30"/>
      <c r="D8" s="30"/>
      <c r="E8" s="30"/>
      <c r="F8" s="30"/>
      <c r="G8" s="30"/>
      <c r="H8" s="30"/>
      <c r="I8" s="30">
        <f t="shared" si="1"/>
        <v>1250</v>
      </c>
      <c r="J8" s="30">
        <f t="shared" si="1"/>
        <v>1250</v>
      </c>
      <c r="K8" s="30">
        <f t="shared" si="1"/>
        <v>1250</v>
      </c>
      <c r="L8" s="30">
        <f t="shared" si="1"/>
        <v>1250</v>
      </c>
      <c r="M8" s="30">
        <f t="shared" si="1"/>
        <v>1250</v>
      </c>
      <c r="N8" s="30">
        <f t="shared" si="1"/>
        <v>1250</v>
      </c>
      <c r="O8" s="33">
        <f t="shared" si="2"/>
        <v>7500</v>
      </c>
    </row>
    <row r="9" spans="1:15" x14ac:dyDescent="0.35">
      <c r="A9" s="28"/>
      <c r="B9" s="31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32"/>
    </row>
    <row r="10" spans="1:15" ht="15" thickBot="1" x14ac:dyDescent="0.4">
      <c r="A10" s="36" t="s">
        <v>6</v>
      </c>
      <c r="B10" s="37"/>
      <c r="C10" s="38">
        <f t="shared" ref="C10:O10" si="3">SUM(C5:C9)</f>
        <v>0</v>
      </c>
      <c r="D10" s="38">
        <f t="shared" si="3"/>
        <v>0</v>
      </c>
      <c r="E10" s="38">
        <f t="shared" si="3"/>
        <v>0</v>
      </c>
      <c r="F10" s="38">
        <f t="shared" si="3"/>
        <v>0</v>
      </c>
      <c r="G10" s="38">
        <f t="shared" si="3"/>
        <v>0</v>
      </c>
      <c r="H10" s="38">
        <f t="shared" si="3"/>
        <v>0</v>
      </c>
      <c r="I10" s="38">
        <f t="shared" si="3"/>
        <v>2500</v>
      </c>
      <c r="J10" s="38">
        <f t="shared" si="3"/>
        <v>2500</v>
      </c>
      <c r="K10" s="38">
        <f t="shared" si="3"/>
        <v>2500</v>
      </c>
      <c r="L10" s="38">
        <f t="shared" si="3"/>
        <v>2500</v>
      </c>
      <c r="M10" s="38">
        <f t="shared" si="3"/>
        <v>2500</v>
      </c>
      <c r="N10" s="38">
        <f t="shared" si="3"/>
        <v>2500</v>
      </c>
      <c r="O10" s="39">
        <f t="shared" si="3"/>
        <v>14999.999999999998</v>
      </c>
    </row>
    <row r="11" spans="1:15" ht="15" thickTop="1" x14ac:dyDescent="0.35">
      <c r="A11" s="28"/>
      <c r="B11" s="31"/>
      <c r="C11" s="28"/>
      <c r="D11" s="28"/>
      <c r="E11" s="28"/>
      <c r="F11" s="42"/>
      <c r="G11" s="28"/>
      <c r="H11" s="28"/>
      <c r="I11" s="28"/>
      <c r="J11" s="28"/>
      <c r="K11" s="28"/>
      <c r="L11" s="28"/>
      <c r="M11" s="28"/>
      <c r="N11" s="28"/>
      <c r="O11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7522-E1D9-42BB-805F-62D697621613}">
  <dimension ref="A1:S104"/>
  <sheetViews>
    <sheetView workbookViewId="0">
      <selection activeCell="F19" sqref="F19"/>
    </sheetView>
  </sheetViews>
  <sheetFormatPr defaultRowHeight="14.5" x14ac:dyDescent="0.35"/>
  <cols>
    <col min="1" max="1" width="18.26953125" customWidth="1"/>
    <col min="2" max="2" width="18.26953125" style="25" customWidth="1"/>
    <col min="3" max="3" width="11" bestFit="1" customWidth="1"/>
    <col min="4" max="4" width="10.81640625" bestFit="1" customWidth="1"/>
    <col min="5" max="5" width="11" bestFit="1" customWidth="1"/>
    <col min="6" max="6" width="10.81640625" bestFit="1" customWidth="1"/>
    <col min="7" max="18" width="9" bestFit="1" customWidth="1"/>
    <col min="19" max="19" width="9" style="35" bestFit="1" customWidth="1"/>
  </cols>
  <sheetData>
    <row r="1" spans="1:19" x14ac:dyDescent="0.35">
      <c r="A1" s="2"/>
      <c r="B1" s="24"/>
      <c r="C1" s="143" t="s">
        <v>23</v>
      </c>
      <c r="D1" s="144"/>
      <c r="E1" s="143" t="s">
        <v>26</v>
      </c>
      <c r="F1" s="144"/>
      <c r="G1" s="2" t="s">
        <v>0</v>
      </c>
      <c r="H1" s="2" t="s">
        <v>0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3"/>
    </row>
    <row r="2" spans="1:19" x14ac:dyDescent="0.35">
      <c r="A2" s="4" t="s">
        <v>15</v>
      </c>
      <c r="B2" s="24" t="s">
        <v>20</v>
      </c>
      <c r="C2" s="4" t="s">
        <v>21</v>
      </c>
      <c r="D2" s="4" t="s">
        <v>22</v>
      </c>
      <c r="E2" s="4" t="s">
        <v>27</v>
      </c>
      <c r="F2" s="4" t="s">
        <v>22</v>
      </c>
      <c r="G2" s="4">
        <v>45931</v>
      </c>
      <c r="H2" s="4">
        <v>45962</v>
      </c>
      <c r="I2" s="4">
        <v>45992</v>
      </c>
      <c r="J2" s="4">
        <v>46023</v>
      </c>
      <c r="K2" s="4">
        <v>46054</v>
      </c>
      <c r="L2" s="4">
        <v>46082</v>
      </c>
      <c r="M2" s="4">
        <v>46113</v>
      </c>
      <c r="N2" s="4">
        <v>46143</v>
      </c>
      <c r="O2" s="4">
        <v>46174</v>
      </c>
      <c r="P2" s="4">
        <v>46204</v>
      </c>
      <c r="Q2" s="4">
        <v>46235</v>
      </c>
      <c r="R2" s="4">
        <v>46266</v>
      </c>
      <c r="S2" s="5" t="s">
        <v>2</v>
      </c>
    </row>
    <row r="3" spans="1:19" s="23" customFormat="1" ht="13" x14ac:dyDescent="0.3">
      <c r="A3" s="29" t="s">
        <v>16</v>
      </c>
      <c r="B3" s="31"/>
      <c r="C3" s="30">
        <v>38000</v>
      </c>
      <c r="D3" s="30">
        <f>C3*0.188</f>
        <v>7144</v>
      </c>
      <c r="E3" s="30">
        <v>2000</v>
      </c>
      <c r="F3" s="30">
        <f>E3*0.188</f>
        <v>376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32"/>
    </row>
    <row r="4" spans="1:19" s="23" customFormat="1" ht="13" x14ac:dyDescent="0.3">
      <c r="A4" s="28" t="s">
        <v>11</v>
      </c>
      <c r="B4" s="41">
        <v>0.25</v>
      </c>
      <c r="C4" s="28"/>
      <c r="D4" s="28"/>
      <c r="E4" s="28"/>
      <c r="F4" s="28"/>
      <c r="G4" s="30">
        <f>SUM($C$3:$D$3)/12*$B4</f>
        <v>940.5</v>
      </c>
      <c r="H4" s="30">
        <f t="shared" ref="H4:R4" si="0">SUM($C$3:$D$3)/12*$B4</f>
        <v>940.5</v>
      </c>
      <c r="I4" s="30">
        <f t="shared" si="0"/>
        <v>940.5</v>
      </c>
      <c r="J4" s="30">
        <f>SUM($C$3:$D$3)/12*$B4+SUM($E$3:$F$3)*$B4</f>
        <v>1534.5</v>
      </c>
      <c r="K4" s="30">
        <f t="shared" si="0"/>
        <v>940.5</v>
      </c>
      <c r="L4" s="30">
        <f t="shared" si="0"/>
        <v>940.5</v>
      </c>
      <c r="M4" s="30">
        <f t="shared" si="0"/>
        <v>940.5</v>
      </c>
      <c r="N4" s="30">
        <f t="shared" si="0"/>
        <v>940.5</v>
      </c>
      <c r="O4" s="30">
        <f t="shared" si="0"/>
        <v>940.5</v>
      </c>
      <c r="P4" s="30">
        <f t="shared" si="0"/>
        <v>940.5</v>
      </c>
      <c r="Q4" s="30">
        <f t="shared" si="0"/>
        <v>940.5</v>
      </c>
      <c r="R4" s="30">
        <f t="shared" si="0"/>
        <v>940.5</v>
      </c>
      <c r="S4" s="33">
        <f>SUM(G4:R4)</f>
        <v>11880</v>
      </c>
    </row>
    <row r="5" spans="1:19" s="23" customFormat="1" ht="13" x14ac:dyDescent="0.3">
      <c r="A5" s="28" t="s">
        <v>12</v>
      </c>
      <c r="B5" s="41">
        <v>2.5000000000000001E-2</v>
      </c>
      <c r="C5" s="28"/>
      <c r="D5" s="28"/>
      <c r="E5" s="28"/>
      <c r="F5" s="28"/>
      <c r="G5" s="30">
        <f t="shared" ref="G5:R10" si="1">SUM($C$3:$D$3)/12*$B5</f>
        <v>94.050000000000011</v>
      </c>
      <c r="H5" s="30">
        <f t="shared" si="1"/>
        <v>94.050000000000011</v>
      </c>
      <c r="I5" s="30">
        <f t="shared" si="1"/>
        <v>94.050000000000011</v>
      </c>
      <c r="J5" s="30">
        <f t="shared" ref="J5:J10" si="2">SUM($C$3:$D$3)/12*$B5+SUM($E$3:$F$3)*$B5</f>
        <v>153.45000000000002</v>
      </c>
      <c r="K5" s="30">
        <f t="shared" si="1"/>
        <v>94.050000000000011</v>
      </c>
      <c r="L5" s="30">
        <f t="shared" si="1"/>
        <v>94.050000000000011</v>
      </c>
      <c r="M5" s="30">
        <f t="shared" si="1"/>
        <v>94.050000000000011</v>
      </c>
      <c r="N5" s="30">
        <f t="shared" si="1"/>
        <v>94.050000000000011</v>
      </c>
      <c r="O5" s="30">
        <f t="shared" si="1"/>
        <v>94.050000000000011</v>
      </c>
      <c r="P5" s="30">
        <f t="shared" si="1"/>
        <v>94.050000000000011</v>
      </c>
      <c r="Q5" s="30">
        <f t="shared" si="1"/>
        <v>94.050000000000011</v>
      </c>
      <c r="R5" s="30">
        <f t="shared" si="1"/>
        <v>94.050000000000011</v>
      </c>
      <c r="S5" s="33">
        <f t="shared" ref="S5:S10" si="3">SUM(G5:R5)</f>
        <v>1187.9999999999998</v>
      </c>
    </row>
    <row r="6" spans="1:19" s="23" customFormat="1" ht="13" x14ac:dyDescent="0.3">
      <c r="A6" s="28" t="s">
        <v>14</v>
      </c>
      <c r="B6" s="41">
        <v>0.25</v>
      </c>
      <c r="C6" s="28"/>
      <c r="D6" s="28"/>
      <c r="E6" s="28"/>
      <c r="F6" s="28"/>
      <c r="G6" s="30">
        <f t="shared" si="1"/>
        <v>940.5</v>
      </c>
      <c r="H6" s="30">
        <f t="shared" si="1"/>
        <v>940.5</v>
      </c>
      <c r="I6" s="30">
        <f t="shared" si="1"/>
        <v>940.5</v>
      </c>
      <c r="J6" s="30">
        <f t="shared" si="2"/>
        <v>1534.5</v>
      </c>
      <c r="K6" s="30">
        <f t="shared" si="1"/>
        <v>940.5</v>
      </c>
      <c r="L6" s="30">
        <f t="shared" si="1"/>
        <v>940.5</v>
      </c>
      <c r="M6" s="30">
        <f t="shared" si="1"/>
        <v>940.5</v>
      </c>
      <c r="N6" s="30">
        <f t="shared" si="1"/>
        <v>940.5</v>
      </c>
      <c r="O6" s="30">
        <f t="shared" si="1"/>
        <v>940.5</v>
      </c>
      <c r="P6" s="30">
        <f t="shared" si="1"/>
        <v>940.5</v>
      </c>
      <c r="Q6" s="30">
        <f t="shared" si="1"/>
        <v>940.5</v>
      </c>
      <c r="R6" s="30">
        <f t="shared" si="1"/>
        <v>940.5</v>
      </c>
      <c r="S6" s="33">
        <f t="shared" si="3"/>
        <v>11880</v>
      </c>
    </row>
    <row r="7" spans="1:19" s="23" customFormat="1" ht="13" x14ac:dyDescent="0.3">
      <c r="A7" s="28" t="s">
        <v>17</v>
      </c>
      <c r="B7" s="41">
        <v>0.25</v>
      </c>
      <c r="C7" s="28"/>
      <c r="D7" s="28"/>
      <c r="E7" s="28"/>
      <c r="F7" s="28"/>
      <c r="G7" s="30">
        <f t="shared" si="1"/>
        <v>940.5</v>
      </c>
      <c r="H7" s="30">
        <f t="shared" si="1"/>
        <v>940.5</v>
      </c>
      <c r="I7" s="30">
        <f t="shared" si="1"/>
        <v>940.5</v>
      </c>
      <c r="J7" s="30">
        <f t="shared" si="2"/>
        <v>1534.5</v>
      </c>
      <c r="K7" s="30">
        <f t="shared" si="1"/>
        <v>940.5</v>
      </c>
      <c r="L7" s="30">
        <f t="shared" si="1"/>
        <v>940.5</v>
      </c>
      <c r="M7" s="30">
        <f t="shared" si="1"/>
        <v>940.5</v>
      </c>
      <c r="N7" s="30">
        <f t="shared" si="1"/>
        <v>940.5</v>
      </c>
      <c r="O7" s="30">
        <f t="shared" si="1"/>
        <v>940.5</v>
      </c>
      <c r="P7" s="30">
        <f t="shared" si="1"/>
        <v>940.5</v>
      </c>
      <c r="Q7" s="30">
        <f t="shared" si="1"/>
        <v>940.5</v>
      </c>
      <c r="R7" s="30">
        <f t="shared" si="1"/>
        <v>940.5</v>
      </c>
      <c r="S7" s="33">
        <f t="shared" si="3"/>
        <v>11880</v>
      </c>
    </row>
    <row r="8" spans="1:19" s="23" customFormat="1" ht="13" x14ac:dyDescent="0.3">
      <c r="A8" s="28" t="s">
        <v>18</v>
      </c>
      <c r="B8" s="41">
        <v>0.05</v>
      </c>
      <c r="C8" s="28"/>
      <c r="D8" s="28"/>
      <c r="E8" s="28"/>
      <c r="F8" s="28"/>
      <c r="G8" s="30">
        <f t="shared" si="1"/>
        <v>188.10000000000002</v>
      </c>
      <c r="H8" s="30">
        <f t="shared" si="1"/>
        <v>188.10000000000002</v>
      </c>
      <c r="I8" s="30">
        <f t="shared" si="1"/>
        <v>188.10000000000002</v>
      </c>
      <c r="J8" s="30">
        <f t="shared" si="2"/>
        <v>306.90000000000003</v>
      </c>
      <c r="K8" s="30">
        <f t="shared" si="1"/>
        <v>188.10000000000002</v>
      </c>
      <c r="L8" s="30">
        <f t="shared" si="1"/>
        <v>188.10000000000002</v>
      </c>
      <c r="M8" s="30">
        <f t="shared" si="1"/>
        <v>188.10000000000002</v>
      </c>
      <c r="N8" s="30">
        <f t="shared" si="1"/>
        <v>188.10000000000002</v>
      </c>
      <c r="O8" s="30">
        <f t="shared" si="1"/>
        <v>188.10000000000002</v>
      </c>
      <c r="P8" s="30">
        <f t="shared" si="1"/>
        <v>188.10000000000002</v>
      </c>
      <c r="Q8" s="30">
        <f t="shared" si="1"/>
        <v>188.10000000000002</v>
      </c>
      <c r="R8" s="30">
        <f t="shared" si="1"/>
        <v>188.10000000000002</v>
      </c>
      <c r="S8" s="33">
        <f t="shared" si="3"/>
        <v>2375.9999999999995</v>
      </c>
    </row>
    <row r="9" spans="1:19" s="23" customFormat="1" ht="13" x14ac:dyDescent="0.3">
      <c r="A9" s="28" t="s">
        <v>19</v>
      </c>
      <c r="B9" s="41">
        <v>0.1</v>
      </c>
      <c r="C9" s="28"/>
      <c r="D9" s="28"/>
      <c r="E9" s="28"/>
      <c r="F9" s="28"/>
      <c r="G9" s="30">
        <f t="shared" si="1"/>
        <v>376.20000000000005</v>
      </c>
      <c r="H9" s="30">
        <f t="shared" si="1"/>
        <v>376.20000000000005</v>
      </c>
      <c r="I9" s="30">
        <f t="shared" si="1"/>
        <v>376.20000000000005</v>
      </c>
      <c r="J9" s="30">
        <f t="shared" si="2"/>
        <v>613.80000000000007</v>
      </c>
      <c r="K9" s="30">
        <f t="shared" si="1"/>
        <v>376.20000000000005</v>
      </c>
      <c r="L9" s="30">
        <f t="shared" si="1"/>
        <v>376.20000000000005</v>
      </c>
      <c r="M9" s="30">
        <f t="shared" si="1"/>
        <v>376.20000000000005</v>
      </c>
      <c r="N9" s="30">
        <f t="shared" si="1"/>
        <v>376.20000000000005</v>
      </c>
      <c r="O9" s="30">
        <f t="shared" si="1"/>
        <v>376.20000000000005</v>
      </c>
      <c r="P9" s="30">
        <f t="shared" si="1"/>
        <v>376.20000000000005</v>
      </c>
      <c r="Q9" s="30">
        <f t="shared" si="1"/>
        <v>376.20000000000005</v>
      </c>
      <c r="R9" s="30">
        <f t="shared" si="1"/>
        <v>376.20000000000005</v>
      </c>
      <c r="S9" s="33">
        <f t="shared" si="3"/>
        <v>4751.9999999999991</v>
      </c>
    </row>
    <row r="10" spans="1:19" s="23" customFormat="1" ht="13" x14ac:dyDescent="0.3">
      <c r="A10" s="28" t="s">
        <v>24</v>
      </c>
      <c r="B10" s="41">
        <v>7.4999999999999997E-2</v>
      </c>
      <c r="C10" s="28"/>
      <c r="D10" s="28"/>
      <c r="E10" s="28"/>
      <c r="F10" s="28"/>
      <c r="G10" s="30">
        <f t="shared" si="1"/>
        <v>282.14999999999998</v>
      </c>
      <c r="H10" s="30">
        <f t="shared" si="1"/>
        <v>282.14999999999998</v>
      </c>
      <c r="I10" s="30">
        <f t="shared" si="1"/>
        <v>282.14999999999998</v>
      </c>
      <c r="J10" s="30">
        <f t="shared" si="2"/>
        <v>460.34999999999997</v>
      </c>
      <c r="K10" s="30">
        <f t="shared" si="1"/>
        <v>282.14999999999998</v>
      </c>
      <c r="L10" s="30">
        <f t="shared" si="1"/>
        <v>282.14999999999998</v>
      </c>
      <c r="M10" s="30">
        <f t="shared" si="1"/>
        <v>282.14999999999998</v>
      </c>
      <c r="N10" s="30">
        <f t="shared" si="1"/>
        <v>282.14999999999998</v>
      </c>
      <c r="O10" s="30">
        <f t="shared" si="1"/>
        <v>282.14999999999998</v>
      </c>
      <c r="P10" s="30">
        <f t="shared" si="1"/>
        <v>282.14999999999998</v>
      </c>
      <c r="Q10" s="30">
        <f t="shared" si="1"/>
        <v>282.14999999999998</v>
      </c>
      <c r="R10" s="30">
        <f t="shared" si="1"/>
        <v>282.14999999999998</v>
      </c>
      <c r="S10" s="33">
        <f t="shared" si="3"/>
        <v>3564.0000000000005</v>
      </c>
    </row>
    <row r="11" spans="1:19" s="23" customFormat="1" ht="13" x14ac:dyDescent="0.3">
      <c r="A11" s="28"/>
      <c r="B11" s="31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32"/>
    </row>
    <row r="12" spans="1:19" s="40" customFormat="1" ht="13.5" thickBot="1" x14ac:dyDescent="0.35">
      <c r="A12" s="36" t="s">
        <v>6</v>
      </c>
      <c r="B12" s="37"/>
      <c r="C12" s="36"/>
      <c r="D12" s="36"/>
      <c r="E12" s="36"/>
      <c r="F12" s="36"/>
      <c r="G12" s="38">
        <f>SUM(G4:G11)</f>
        <v>3762.0000000000005</v>
      </c>
      <c r="H12" s="38">
        <f t="shared" ref="H12:S12" si="4">SUM(H4:H11)</f>
        <v>3762.0000000000005</v>
      </c>
      <c r="I12" s="38">
        <f t="shared" si="4"/>
        <v>3762.0000000000005</v>
      </c>
      <c r="J12" s="38">
        <f t="shared" si="4"/>
        <v>6138</v>
      </c>
      <c r="K12" s="38">
        <f t="shared" si="4"/>
        <v>3762.0000000000005</v>
      </c>
      <c r="L12" s="38">
        <f t="shared" si="4"/>
        <v>3762.0000000000005</v>
      </c>
      <c r="M12" s="38">
        <f t="shared" si="4"/>
        <v>3762.0000000000005</v>
      </c>
      <c r="N12" s="38">
        <f t="shared" si="4"/>
        <v>3762.0000000000005</v>
      </c>
      <c r="O12" s="38">
        <f t="shared" si="4"/>
        <v>3762.0000000000005</v>
      </c>
      <c r="P12" s="38">
        <f t="shared" si="4"/>
        <v>3762.0000000000005</v>
      </c>
      <c r="Q12" s="38">
        <f t="shared" si="4"/>
        <v>3762.0000000000005</v>
      </c>
      <c r="R12" s="38">
        <f t="shared" si="4"/>
        <v>3762.0000000000005</v>
      </c>
      <c r="S12" s="39">
        <f t="shared" si="4"/>
        <v>47520</v>
      </c>
    </row>
    <row r="13" spans="1:19" s="23" customFormat="1" ht="13.5" thickTop="1" x14ac:dyDescent="0.3">
      <c r="A13" s="28"/>
      <c r="B13" s="31"/>
      <c r="C13" s="28"/>
      <c r="D13" s="28"/>
      <c r="E13" s="28"/>
      <c r="F13" s="28"/>
      <c r="G13" s="28"/>
      <c r="H13" s="28"/>
      <c r="I13" s="28"/>
      <c r="J13" s="42"/>
      <c r="K13" s="28"/>
      <c r="L13" s="28"/>
      <c r="M13" s="28"/>
      <c r="N13" s="28"/>
      <c r="O13" s="28"/>
      <c r="P13" s="28"/>
      <c r="Q13" s="28"/>
      <c r="R13" s="28"/>
      <c r="S13" s="34">
        <f>S12-F3-E3-D3-C3</f>
        <v>0</v>
      </c>
    </row>
    <row r="14" spans="1:19" s="23" customFormat="1" ht="13" x14ac:dyDescent="0.3">
      <c r="A14" s="29" t="s">
        <v>25</v>
      </c>
      <c r="B14" s="31"/>
      <c r="C14" s="30">
        <v>25000</v>
      </c>
      <c r="D14" s="30">
        <f>C14*0.188</f>
        <v>4700</v>
      </c>
      <c r="E14" s="30"/>
      <c r="F14" s="30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32"/>
    </row>
    <row r="15" spans="1:19" s="23" customFormat="1" ht="13" x14ac:dyDescent="0.3">
      <c r="A15" s="28" t="s">
        <v>11</v>
      </c>
      <c r="B15" s="41">
        <v>0.3</v>
      </c>
      <c r="C15" s="28"/>
      <c r="D15" s="28"/>
      <c r="E15" s="28"/>
      <c r="F15" s="28"/>
      <c r="G15" s="30">
        <f>SUM($C$14:$D$14)/12*$B15</f>
        <v>742.5</v>
      </c>
      <c r="H15" s="30">
        <f t="shared" ref="H15:R15" si="5">SUM($C$14:$D$14)/12*$B15</f>
        <v>742.5</v>
      </c>
      <c r="I15" s="30">
        <f t="shared" si="5"/>
        <v>742.5</v>
      </c>
      <c r="J15" s="30">
        <f t="shared" si="5"/>
        <v>742.5</v>
      </c>
      <c r="K15" s="30">
        <f t="shared" si="5"/>
        <v>742.5</v>
      </c>
      <c r="L15" s="30">
        <f t="shared" si="5"/>
        <v>742.5</v>
      </c>
      <c r="M15" s="30">
        <f t="shared" si="5"/>
        <v>742.5</v>
      </c>
      <c r="N15" s="30">
        <f t="shared" si="5"/>
        <v>742.5</v>
      </c>
      <c r="O15" s="30">
        <f t="shared" si="5"/>
        <v>742.5</v>
      </c>
      <c r="P15" s="30">
        <f t="shared" si="5"/>
        <v>742.5</v>
      </c>
      <c r="Q15" s="30">
        <f t="shared" si="5"/>
        <v>742.5</v>
      </c>
      <c r="R15" s="30">
        <f t="shared" si="5"/>
        <v>742.5</v>
      </c>
      <c r="S15" s="33">
        <f>SUM(G15:R15)</f>
        <v>8910</v>
      </c>
    </row>
    <row r="16" spans="1:19" s="23" customFormat="1" ht="13" x14ac:dyDescent="0.3">
      <c r="A16" s="28" t="s">
        <v>12</v>
      </c>
      <c r="B16" s="41">
        <v>0</v>
      </c>
      <c r="C16" s="28"/>
      <c r="D16" s="28"/>
      <c r="E16" s="28"/>
      <c r="F16" s="28"/>
      <c r="G16" s="30">
        <f t="shared" ref="G16:R21" si="6">SUM($C$14:$D$14)/12*$B16</f>
        <v>0</v>
      </c>
      <c r="H16" s="30">
        <f t="shared" si="6"/>
        <v>0</v>
      </c>
      <c r="I16" s="30">
        <f t="shared" si="6"/>
        <v>0</v>
      </c>
      <c r="J16" s="30">
        <f t="shared" si="6"/>
        <v>0</v>
      </c>
      <c r="K16" s="30">
        <f t="shared" si="6"/>
        <v>0</v>
      </c>
      <c r="L16" s="30">
        <f t="shared" si="6"/>
        <v>0</v>
      </c>
      <c r="M16" s="30">
        <f t="shared" si="6"/>
        <v>0</v>
      </c>
      <c r="N16" s="30">
        <f t="shared" si="6"/>
        <v>0</v>
      </c>
      <c r="O16" s="30">
        <f t="shared" si="6"/>
        <v>0</v>
      </c>
      <c r="P16" s="30">
        <f t="shared" si="6"/>
        <v>0</v>
      </c>
      <c r="Q16" s="30">
        <f t="shared" si="6"/>
        <v>0</v>
      </c>
      <c r="R16" s="30">
        <f t="shared" si="6"/>
        <v>0</v>
      </c>
      <c r="S16" s="33">
        <f t="shared" ref="S16:S21" si="7">SUM(G16:R16)</f>
        <v>0</v>
      </c>
    </row>
    <row r="17" spans="1:19" s="23" customFormat="1" ht="13" x14ac:dyDescent="0.3">
      <c r="A17" s="28" t="s">
        <v>14</v>
      </c>
      <c r="B17" s="41">
        <v>0.3</v>
      </c>
      <c r="C17" s="28"/>
      <c r="D17" s="28"/>
      <c r="E17" s="28"/>
      <c r="F17" s="28"/>
      <c r="G17" s="30">
        <f t="shared" si="6"/>
        <v>742.5</v>
      </c>
      <c r="H17" s="30">
        <f t="shared" si="6"/>
        <v>742.5</v>
      </c>
      <c r="I17" s="30">
        <f t="shared" si="6"/>
        <v>742.5</v>
      </c>
      <c r="J17" s="30">
        <f t="shared" si="6"/>
        <v>742.5</v>
      </c>
      <c r="K17" s="30">
        <f t="shared" si="6"/>
        <v>742.5</v>
      </c>
      <c r="L17" s="30">
        <f t="shared" si="6"/>
        <v>742.5</v>
      </c>
      <c r="M17" s="30">
        <f t="shared" si="6"/>
        <v>742.5</v>
      </c>
      <c r="N17" s="30">
        <f t="shared" si="6"/>
        <v>742.5</v>
      </c>
      <c r="O17" s="30">
        <f t="shared" si="6"/>
        <v>742.5</v>
      </c>
      <c r="P17" s="30">
        <f t="shared" si="6"/>
        <v>742.5</v>
      </c>
      <c r="Q17" s="30">
        <f t="shared" si="6"/>
        <v>742.5</v>
      </c>
      <c r="R17" s="30">
        <f t="shared" si="6"/>
        <v>742.5</v>
      </c>
      <c r="S17" s="33">
        <f t="shared" si="7"/>
        <v>8910</v>
      </c>
    </row>
    <row r="18" spans="1:19" s="23" customFormat="1" ht="13" x14ac:dyDescent="0.3">
      <c r="A18" s="28" t="s">
        <v>17</v>
      </c>
      <c r="B18" s="41">
        <v>0.17499999999999999</v>
      </c>
      <c r="C18" s="28"/>
      <c r="D18" s="28"/>
      <c r="E18" s="28"/>
      <c r="F18" s="28"/>
      <c r="G18" s="30">
        <f t="shared" si="6"/>
        <v>433.125</v>
      </c>
      <c r="H18" s="30">
        <f t="shared" si="6"/>
        <v>433.125</v>
      </c>
      <c r="I18" s="30">
        <f t="shared" si="6"/>
        <v>433.125</v>
      </c>
      <c r="J18" s="30">
        <f t="shared" si="6"/>
        <v>433.125</v>
      </c>
      <c r="K18" s="30">
        <f t="shared" si="6"/>
        <v>433.125</v>
      </c>
      <c r="L18" s="30">
        <f t="shared" si="6"/>
        <v>433.125</v>
      </c>
      <c r="M18" s="30">
        <f t="shared" si="6"/>
        <v>433.125</v>
      </c>
      <c r="N18" s="30">
        <f t="shared" si="6"/>
        <v>433.125</v>
      </c>
      <c r="O18" s="30">
        <f t="shared" si="6"/>
        <v>433.125</v>
      </c>
      <c r="P18" s="30">
        <f t="shared" si="6"/>
        <v>433.125</v>
      </c>
      <c r="Q18" s="30">
        <f t="shared" si="6"/>
        <v>433.125</v>
      </c>
      <c r="R18" s="30">
        <f t="shared" si="6"/>
        <v>433.125</v>
      </c>
      <c r="S18" s="33">
        <f t="shared" si="7"/>
        <v>5197.5</v>
      </c>
    </row>
    <row r="19" spans="1:19" s="23" customFormat="1" ht="13" x14ac:dyDescent="0.3">
      <c r="A19" s="28" t="s">
        <v>18</v>
      </c>
      <c r="B19" s="41">
        <v>0.17499999999999999</v>
      </c>
      <c r="C19" s="28"/>
      <c r="D19" s="28"/>
      <c r="E19" s="28"/>
      <c r="F19" s="28"/>
      <c r="G19" s="30">
        <f t="shared" si="6"/>
        <v>433.125</v>
      </c>
      <c r="H19" s="30">
        <f t="shared" si="6"/>
        <v>433.125</v>
      </c>
      <c r="I19" s="30">
        <f t="shared" si="6"/>
        <v>433.125</v>
      </c>
      <c r="J19" s="30">
        <f t="shared" si="6"/>
        <v>433.125</v>
      </c>
      <c r="K19" s="30">
        <f t="shared" si="6"/>
        <v>433.125</v>
      </c>
      <c r="L19" s="30">
        <f t="shared" si="6"/>
        <v>433.125</v>
      </c>
      <c r="M19" s="30">
        <f t="shared" si="6"/>
        <v>433.125</v>
      </c>
      <c r="N19" s="30">
        <f t="shared" si="6"/>
        <v>433.125</v>
      </c>
      <c r="O19" s="30">
        <f t="shared" si="6"/>
        <v>433.125</v>
      </c>
      <c r="P19" s="30">
        <f t="shared" si="6"/>
        <v>433.125</v>
      </c>
      <c r="Q19" s="30">
        <f t="shared" si="6"/>
        <v>433.125</v>
      </c>
      <c r="R19" s="30">
        <f t="shared" si="6"/>
        <v>433.125</v>
      </c>
      <c r="S19" s="33">
        <f t="shared" si="7"/>
        <v>5197.5</v>
      </c>
    </row>
    <row r="20" spans="1:19" s="23" customFormat="1" ht="13" x14ac:dyDescent="0.3">
      <c r="A20" s="28" t="s">
        <v>19</v>
      </c>
      <c r="B20" s="41">
        <v>0.05</v>
      </c>
      <c r="C20" s="28"/>
      <c r="D20" s="28"/>
      <c r="E20" s="28"/>
      <c r="F20" s="28"/>
      <c r="G20" s="30">
        <f t="shared" si="6"/>
        <v>123.75</v>
      </c>
      <c r="H20" s="30">
        <f t="shared" si="6"/>
        <v>123.75</v>
      </c>
      <c r="I20" s="30">
        <f t="shared" si="6"/>
        <v>123.75</v>
      </c>
      <c r="J20" s="30">
        <f t="shared" si="6"/>
        <v>123.75</v>
      </c>
      <c r="K20" s="30">
        <f t="shared" si="6"/>
        <v>123.75</v>
      </c>
      <c r="L20" s="30">
        <f t="shared" si="6"/>
        <v>123.75</v>
      </c>
      <c r="M20" s="30">
        <f t="shared" si="6"/>
        <v>123.75</v>
      </c>
      <c r="N20" s="30">
        <f t="shared" si="6"/>
        <v>123.75</v>
      </c>
      <c r="O20" s="30">
        <f t="shared" si="6"/>
        <v>123.75</v>
      </c>
      <c r="P20" s="30">
        <f t="shared" si="6"/>
        <v>123.75</v>
      </c>
      <c r="Q20" s="30">
        <f t="shared" si="6"/>
        <v>123.75</v>
      </c>
      <c r="R20" s="30">
        <f t="shared" si="6"/>
        <v>123.75</v>
      </c>
      <c r="S20" s="33">
        <f t="shared" si="7"/>
        <v>1485</v>
      </c>
    </row>
    <row r="21" spans="1:19" s="23" customFormat="1" ht="13" x14ac:dyDescent="0.3">
      <c r="A21" s="28" t="s">
        <v>24</v>
      </c>
      <c r="B21" s="41">
        <v>0</v>
      </c>
      <c r="C21" s="28"/>
      <c r="D21" s="28"/>
      <c r="E21" s="28"/>
      <c r="F21" s="28"/>
      <c r="G21" s="30">
        <f t="shared" si="6"/>
        <v>0</v>
      </c>
      <c r="H21" s="30">
        <f t="shared" si="6"/>
        <v>0</v>
      </c>
      <c r="I21" s="30">
        <f t="shared" si="6"/>
        <v>0</v>
      </c>
      <c r="J21" s="30">
        <f t="shared" si="6"/>
        <v>0</v>
      </c>
      <c r="K21" s="30">
        <f t="shared" si="6"/>
        <v>0</v>
      </c>
      <c r="L21" s="30">
        <f t="shared" si="6"/>
        <v>0</v>
      </c>
      <c r="M21" s="30">
        <f t="shared" si="6"/>
        <v>0</v>
      </c>
      <c r="N21" s="30">
        <f t="shared" si="6"/>
        <v>0</v>
      </c>
      <c r="O21" s="30">
        <f t="shared" si="6"/>
        <v>0</v>
      </c>
      <c r="P21" s="30">
        <f t="shared" si="6"/>
        <v>0</v>
      </c>
      <c r="Q21" s="30">
        <f t="shared" si="6"/>
        <v>0</v>
      </c>
      <c r="R21" s="30">
        <f t="shared" si="6"/>
        <v>0</v>
      </c>
      <c r="S21" s="33">
        <f t="shared" si="7"/>
        <v>0</v>
      </c>
    </row>
    <row r="22" spans="1:19" s="23" customFormat="1" ht="13" x14ac:dyDescent="0.3">
      <c r="A22" s="28"/>
      <c r="B22" s="31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32"/>
    </row>
    <row r="23" spans="1:19" s="40" customFormat="1" ht="13.5" thickBot="1" x14ac:dyDescent="0.35">
      <c r="A23" s="36" t="s">
        <v>6</v>
      </c>
      <c r="B23" s="37"/>
      <c r="C23" s="36"/>
      <c r="D23" s="36"/>
      <c r="E23" s="36"/>
      <c r="F23" s="36"/>
      <c r="G23" s="38">
        <f>SUM(G15:G22)</f>
        <v>2475</v>
      </c>
      <c r="H23" s="38">
        <f t="shared" ref="H23:S23" si="8">SUM(H15:H22)</f>
        <v>2475</v>
      </c>
      <c r="I23" s="38">
        <f t="shared" si="8"/>
        <v>2475</v>
      </c>
      <c r="J23" s="38">
        <f t="shared" si="8"/>
        <v>2475</v>
      </c>
      <c r="K23" s="38">
        <f t="shared" si="8"/>
        <v>2475</v>
      </c>
      <c r="L23" s="38">
        <f t="shared" si="8"/>
        <v>2475</v>
      </c>
      <c r="M23" s="38">
        <f t="shared" si="8"/>
        <v>2475</v>
      </c>
      <c r="N23" s="38">
        <f t="shared" si="8"/>
        <v>2475</v>
      </c>
      <c r="O23" s="38">
        <f t="shared" si="8"/>
        <v>2475</v>
      </c>
      <c r="P23" s="38">
        <f t="shared" si="8"/>
        <v>2475</v>
      </c>
      <c r="Q23" s="38">
        <f t="shared" si="8"/>
        <v>2475</v>
      </c>
      <c r="R23" s="38">
        <f t="shared" si="8"/>
        <v>2475</v>
      </c>
      <c r="S23" s="39">
        <f t="shared" si="8"/>
        <v>29700</v>
      </c>
    </row>
    <row r="24" spans="1:19" s="23" customFormat="1" ht="13.5" thickTop="1" x14ac:dyDescent="0.3">
      <c r="A24" s="28"/>
      <c r="B24" s="31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34">
        <f>S23-C14-D14</f>
        <v>0</v>
      </c>
    </row>
    <row r="25" spans="1:19" s="23" customFormat="1" ht="13" x14ac:dyDescent="0.3">
      <c r="A25" s="29" t="s">
        <v>28</v>
      </c>
      <c r="B25" s="31"/>
      <c r="C25" s="30">
        <v>36000</v>
      </c>
      <c r="D25" s="30">
        <f>C25*0.188</f>
        <v>6768</v>
      </c>
      <c r="E25" s="30"/>
      <c r="F25" s="30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32"/>
    </row>
    <row r="26" spans="1:19" s="23" customFormat="1" ht="13" x14ac:dyDescent="0.3">
      <c r="A26" s="28" t="s">
        <v>11</v>
      </c>
      <c r="B26" s="41">
        <v>0.1</v>
      </c>
      <c r="C26" s="28"/>
      <c r="D26" s="28"/>
      <c r="E26" s="28"/>
      <c r="F26" s="28"/>
      <c r="G26" s="30">
        <f>SUM($C$25:$D$25)/12*$B26</f>
        <v>356.40000000000003</v>
      </c>
      <c r="H26" s="30">
        <f t="shared" ref="H26:K26" si="9">SUM($C$25:$D$25)/12*$B26</f>
        <v>356.40000000000003</v>
      </c>
      <c r="I26" s="30">
        <f t="shared" si="9"/>
        <v>356.40000000000003</v>
      </c>
      <c r="J26" s="30">
        <f t="shared" si="9"/>
        <v>356.40000000000003</v>
      </c>
      <c r="K26" s="30">
        <f t="shared" si="9"/>
        <v>356.40000000000003</v>
      </c>
      <c r="L26" s="30"/>
      <c r="M26" s="30"/>
      <c r="N26" s="30"/>
      <c r="O26" s="30"/>
      <c r="P26" s="30"/>
      <c r="Q26" s="30"/>
      <c r="R26" s="30"/>
      <c r="S26" s="33">
        <f>SUM(G26:R26)</f>
        <v>1782.0000000000002</v>
      </c>
    </row>
    <row r="27" spans="1:19" s="23" customFormat="1" ht="13" x14ac:dyDescent="0.3">
      <c r="A27" s="28" t="s">
        <v>12</v>
      </c>
      <c r="B27" s="41">
        <v>0</v>
      </c>
      <c r="C27" s="28"/>
      <c r="D27" s="28"/>
      <c r="E27" s="28"/>
      <c r="F27" s="28"/>
      <c r="G27" s="30">
        <f t="shared" ref="G27:K32" si="10">SUM($C$25:$D$25)/12*$B27</f>
        <v>0</v>
      </c>
      <c r="H27" s="30">
        <f t="shared" si="10"/>
        <v>0</v>
      </c>
      <c r="I27" s="30">
        <f t="shared" si="10"/>
        <v>0</v>
      </c>
      <c r="J27" s="30">
        <f t="shared" si="10"/>
        <v>0</v>
      </c>
      <c r="K27" s="30">
        <f t="shared" si="10"/>
        <v>0</v>
      </c>
      <c r="L27" s="30"/>
      <c r="M27" s="30"/>
      <c r="N27" s="30"/>
      <c r="O27" s="30"/>
      <c r="P27" s="30"/>
      <c r="Q27" s="30"/>
      <c r="R27" s="30"/>
      <c r="S27" s="33">
        <f t="shared" ref="S27:S32" si="11">SUM(G27:R27)</f>
        <v>0</v>
      </c>
    </row>
    <row r="28" spans="1:19" s="23" customFormat="1" ht="13" x14ac:dyDescent="0.3">
      <c r="A28" s="28" t="s">
        <v>14</v>
      </c>
      <c r="B28" s="41">
        <v>0.6</v>
      </c>
      <c r="C28" s="28"/>
      <c r="D28" s="28"/>
      <c r="E28" s="28"/>
      <c r="F28" s="28"/>
      <c r="G28" s="30">
        <f t="shared" si="10"/>
        <v>2138.4</v>
      </c>
      <c r="H28" s="30">
        <f t="shared" si="10"/>
        <v>2138.4</v>
      </c>
      <c r="I28" s="30">
        <f t="shared" si="10"/>
        <v>2138.4</v>
      </c>
      <c r="J28" s="30">
        <f t="shared" si="10"/>
        <v>2138.4</v>
      </c>
      <c r="K28" s="30">
        <f t="shared" si="10"/>
        <v>2138.4</v>
      </c>
      <c r="L28" s="30"/>
      <c r="M28" s="30"/>
      <c r="N28" s="30"/>
      <c r="O28" s="30"/>
      <c r="P28" s="30"/>
      <c r="Q28" s="30"/>
      <c r="R28" s="30"/>
      <c r="S28" s="33">
        <f t="shared" si="11"/>
        <v>10692</v>
      </c>
    </row>
    <row r="29" spans="1:19" s="23" customFormat="1" ht="13" x14ac:dyDescent="0.3">
      <c r="A29" s="28" t="s">
        <v>17</v>
      </c>
      <c r="B29" s="41">
        <v>0.05</v>
      </c>
      <c r="C29" s="28"/>
      <c r="D29" s="28"/>
      <c r="E29" s="28"/>
      <c r="F29" s="28"/>
      <c r="G29" s="30">
        <f t="shared" si="10"/>
        <v>178.20000000000002</v>
      </c>
      <c r="H29" s="30">
        <f t="shared" si="10"/>
        <v>178.20000000000002</v>
      </c>
      <c r="I29" s="30">
        <f t="shared" si="10"/>
        <v>178.20000000000002</v>
      </c>
      <c r="J29" s="30">
        <f t="shared" si="10"/>
        <v>178.20000000000002</v>
      </c>
      <c r="K29" s="30">
        <f t="shared" si="10"/>
        <v>178.20000000000002</v>
      </c>
      <c r="L29" s="30"/>
      <c r="M29" s="30"/>
      <c r="N29" s="30"/>
      <c r="O29" s="30"/>
      <c r="P29" s="30"/>
      <c r="Q29" s="30"/>
      <c r="R29" s="30"/>
      <c r="S29" s="33">
        <f t="shared" si="11"/>
        <v>891.00000000000011</v>
      </c>
    </row>
    <row r="30" spans="1:19" s="23" customFormat="1" ht="13" x14ac:dyDescent="0.3">
      <c r="A30" s="28" t="s">
        <v>18</v>
      </c>
      <c r="B30" s="41">
        <v>0.05</v>
      </c>
      <c r="C30" s="28"/>
      <c r="D30" s="28"/>
      <c r="E30" s="28"/>
      <c r="F30" s="28"/>
      <c r="G30" s="30">
        <f t="shared" si="10"/>
        <v>178.20000000000002</v>
      </c>
      <c r="H30" s="30">
        <f t="shared" si="10"/>
        <v>178.20000000000002</v>
      </c>
      <c r="I30" s="30">
        <f t="shared" si="10"/>
        <v>178.20000000000002</v>
      </c>
      <c r="J30" s="30">
        <f t="shared" si="10"/>
        <v>178.20000000000002</v>
      </c>
      <c r="K30" s="30">
        <f t="shared" si="10"/>
        <v>178.20000000000002</v>
      </c>
      <c r="L30" s="30"/>
      <c r="M30" s="30"/>
      <c r="N30" s="30"/>
      <c r="O30" s="30"/>
      <c r="P30" s="30"/>
      <c r="Q30" s="30"/>
      <c r="R30" s="30"/>
      <c r="S30" s="33">
        <f t="shared" si="11"/>
        <v>891.00000000000011</v>
      </c>
    </row>
    <row r="31" spans="1:19" s="23" customFormat="1" ht="13" x14ac:dyDescent="0.3">
      <c r="A31" s="28" t="s">
        <v>19</v>
      </c>
      <c r="B31" s="41">
        <v>0</v>
      </c>
      <c r="C31" s="28"/>
      <c r="D31" s="28"/>
      <c r="E31" s="28"/>
      <c r="F31" s="28"/>
      <c r="G31" s="30">
        <f>SUM($C$25:$D$25)/12*$B31</f>
        <v>0</v>
      </c>
      <c r="H31" s="30">
        <f t="shared" si="10"/>
        <v>0</v>
      </c>
      <c r="I31" s="30">
        <f t="shared" si="10"/>
        <v>0</v>
      </c>
      <c r="J31" s="30">
        <f t="shared" si="10"/>
        <v>0</v>
      </c>
      <c r="K31" s="30">
        <f t="shared" si="10"/>
        <v>0</v>
      </c>
      <c r="L31" s="30"/>
      <c r="M31" s="30"/>
      <c r="N31" s="30"/>
      <c r="O31" s="30"/>
      <c r="P31" s="30"/>
      <c r="Q31" s="30"/>
      <c r="R31" s="30"/>
      <c r="S31" s="33">
        <f t="shared" si="11"/>
        <v>0</v>
      </c>
    </row>
    <row r="32" spans="1:19" s="23" customFormat="1" ht="13" x14ac:dyDescent="0.3">
      <c r="A32" s="28" t="s">
        <v>24</v>
      </c>
      <c r="B32" s="41">
        <v>0</v>
      </c>
      <c r="C32" s="28"/>
      <c r="D32" s="28"/>
      <c r="E32" s="28"/>
      <c r="F32" s="28"/>
      <c r="G32" s="30">
        <f t="shared" si="10"/>
        <v>0</v>
      </c>
      <c r="H32" s="30">
        <f t="shared" si="10"/>
        <v>0</v>
      </c>
      <c r="I32" s="30">
        <f t="shared" si="10"/>
        <v>0</v>
      </c>
      <c r="J32" s="30">
        <f t="shared" si="10"/>
        <v>0</v>
      </c>
      <c r="K32" s="30">
        <f t="shared" si="10"/>
        <v>0</v>
      </c>
      <c r="L32" s="30"/>
      <c r="M32" s="30"/>
      <c r="N32" s="30"/>
      <c r="O32" s="30"/>
      <c r="P32" s="30"/>
      <c r="Q32" s="30"/>
      <c r="R32" s="30"/>
      <c r="S32" s="33">
        <f t="shared" si="11"/>
        <v>0</v>
      </c>
    </row>
    <row r="33" spans="1:19" s="40" customFormat="1" ht="13.5" thickBot="1" x14ac:dyDescent="0.35">
      <c r="A33" s="36" t="s">
        <v>6</v>
      </c>
      <c r="B33" s="37"/>
      <c r="C33" s="36"/>
      <c r="D33" s="36"/>
      <c r="E33" s="36"/>
      <c r="F33" s="36"/>
      <c r="G33" s="38">
        <f>SUM(G26:G32)</f>
        <v>2851.2</v>
      </c>
      <c r="H33" s="38">
        <f t="shared" ref="H33:R33" si="12">SUM(H26:H32)</f>
        <v>2851.2</v>
      </c>
      <c r="I33" s="38">
        <f t="shared" si="12"/>
        <v>2851.2</v>
      </c>
      <c r="J33" s="38">
        <f t="shared" si="12"/>
        <v>2851.2</v>
      </c>
      <c r="K33" s="38">
        <f t="shared" si="12"/>
        <v>2851.2</v>
      </c>
      <c r="L33" s="38">
        <f t="shared" si="12"/>
        <v>0</v>
      </c>
      <c r="M33" s="38">
        <f t="shared" si="12"/>
        <v>0</v>
      </c>
      <c r="N33" s="38">
        <f t="shared" si="12"/>
        <v>0</v>
      </c>
      <c r="O33" s="38">
        <f t="shared" si="12"/>
        <v>0</v>
      </c>
      <c r="P33" s="38">
        <f t="shared" si="12"/>
        <v>0</v>
      </c>
      <c r="Q33" s="38">
        <f t="shared" si="12"/>
        <v>0</v>
      </c>
      <c r="R33" s="38">
        <f t="shared" si="12"/>
        <v>0</v>
      </c>
      <c r="S33" s="39">
        <f>SUM(S26:S32)</f>
        <v>14256</v>
      </c>
    </row>
    <row r="34" spans="1:19" ht="15" thickTop="1" x14ac:dyDescent="0.35">
      <c r="S34" s="34"/>
    </row>
    <row r="35" spans="1:19" s="47" customFormat="1" ht="13" x14ac:dyDescent="0.3">
      <c r="A35" s="43" t="s">
        <v>29</v>
      </c>
      <c r="B35" s="44">
        <v>0.2</v>
      </c>
      <c r="C35" s="43"/>
      <c r="D35" s="43"/>
      <c r="E35" s="43"/>
      <c r="F35" s="43"/>
      <c r="G35" s="45">
        <f>SUM($C$25:$D$25)/12*$B35</f>
        <v>712.80000000000007</v>
      </c>
      <c r="H35" s="45">
        <f>SUM($C$25:$D$25)/12*$B35</f>
        <v>712.80000000000007</v>
      </c>
      <c r="I35" s="45">
        <f>SUM($C$25:$D$25)/12*$B35</f>
        <v>712.80000000000007</v>
      </c>
      <c r="J35" s="45">
        <f>SUM($C$25:$D$25)/12*$B35</f>
        <v>712.80000000000007</v>
      </c>
      <c r="K35" s="45">
        <f>SUM($C$25:$D$25)/12*$B35</f>
        <v>712.80000000000007</v>
      </c>
      <c r="L35" s="45"/>
      <c r="M35" s="45"/>
      <c r="N35" s="45"/>
      <c r="O35" s="45"/>
      <c r="P35" s="45"/>
      <c r="Q35" s="45"/>
      <c r="R35" s="45"/>
      <c r="S35" s="46">
        <f t="shared" ref="S35" si="13">SUM(G35:R35)</f>
        <v>3564.0000000000005</v>
      </c>
    </row>
    <row r="37" spans="1:19" s="23" customFormat="1" ht="13" x14ac:dyDescent="0.3">
      <c r="A37" s="29" t="s">
        <v>30</v>
      </c>
      <c r="B37" s="31"/>
      <c r="C37" s="30">
        <v>50000</v>
      </c>
      <c r="D37" s="30">
        <f>C37*0.188</f>
        <v>9400</v>
      </c>
      <c r="E37" s="30">
        <f>4000*12</f>
        <v>48000</v>
      </c>
      <c r="F37" s="30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32"/>
    </row>
    <row r="38" spans="1:19" s="23" customFormat="1" ht="13" x14ac:dyDescent="0.3">
      <c r="A38" s="28" t="s">
        <v>11</v>
      </c>
      <c r="B38" s="41">
        <v>0</v>
      </c>
      <c r="C38" s="28"/>
      <c r="D38" s="28"/>
      <c r="E38" s="28"/>
      <c r="F38" s="28"/>
      <c r="G38" s="30">
        <f>SUM($C$37:$D$37)/12*$B38</f>
        <v>0</v>
      </c>
      <c r="H38" s="30">
        <f t="shared" ref="H38:J38" si="14">SUM($C$37:$D$37)/12*$B38</f>
        <v>0</v>
      </c>
      <c r="I38" s="30">
        <f t="shared" si="14"/>
        <v>0</v>
      </c>
      <c r="J38" s="30">
        <f t="shared" si="14"/>
        <v>0</v>
      </c>
      <c r="K38" s="30">
        <f>SUM($C$37:$D$37)/12*$B38</f>
        <v>0</v>
      </c>
      <c r="L38" s="30">
        <f>SUM($E$37)/12*$B38</f>
        <v>0</v>
      </c>
      <c r="M38" s="30">
        <f t="shared" ref="M38:R38" si="15">SUM($E$37)/12*$B38</f>
        <v>0</v>
      </c>
      <c r="N38" s="30">
        <f t="shared" si="15"/>
        <v>0</v>
      </c>
      <c r="O38" s="30">
        <f t="shared" si="15"/>
        <v>0</v>
      </c>
      <c r="P38" s="30">
        <f t="shared" si="15"/>
        <v>0</v>
      </c>
      <c r="Q38" s="30">
        <f t="shared" si="15"/>
        <v>0</v>
      </c>
      <c r="R38" s="30">
        <f t="shared" si="15"/>
        <v>0</v>
      </c>
      <c r="S38" s="33">
        <f>SUM(G38:R38)</f>
        <v>0</v>
      </c>
    </row>
    <row r="39" spans="1:19" s="23" customFormat="1" ht="13" x14ac:dyDescent="0.3">
      <c r="A39" s="28" t="s">
        <v>12</v>
      </c>
      <c r="B39" s="41">
        <v>0.5</v>
      </c>
      <c r="C39" s="28"/>
      <c r="D39" s="28"/>
      <c r="E39" s="28"/>
      <c r="F39" s="28"/>
      <c r="G39" s="30">
        <f t="shared" ref="G39:K44" si="16">SUM($C$37:$D$37)/12*$B39</f>
        <v>2475</v>
      </c>
      <c r="H39" s="30">
        <f t="shared" si="16"/>
        <v>2475</v>
      </c>
      <c r="I39" s="30">
        <f t="shared" si="16"/>
        <v>2475</v>
      </c>
      <c r="J39" s="30">
        <f t="shared" si="16"/>
        <v>2475</v>
      </c>
      <c r="K39" s="30">
        <f t="shared" si="16"/>
        <v>2475</v>
      </c>
      <c r="L39" s="30">
        <f t="shared" ref="L39:R44" si="17">SUM($E$37)/12*$B39</f>
        <v>2000</v>
      </c>
      <c r="M39" s="30">
        <f t="shared" si="17"/>
        <v>2000</v>
      </c>
      <c r="N39" s="30">
        <f t="shared" si="17"/>
        <v>2000</v>
      </c>
      <c r="O39" s="30">
        <f t="shared" si="17"/>
        <v>2000</v>
      </c>
      <c r="P39" s="30">
        <f t="shared" si="17"/>
        <v>2000</v>
      </c>
      <c r="Q39" s="30">
        <f t="shared" si="17"/>
        <v>2000</v>
      </c>
      <c r="R39" s="30">
        <f t="shared" si="17"/>
        <v>2000</v>
      </c>
      <c r="S39" s="33">
        <f t="shared" ref="S39:S44" si="18">SUM(G39:R39)</f>
        <v>26375</v>
      </c>
    </row>
    <row r="40" spans="1:19" s="23" customFormat="1" ht="13" x14ac:dyDescent="0.3">
      <c r="A40" s="28" t="s">
        <v>14</v>
      </c>
      <c r="B40" s="41"/>
      <c r="C40" s="28"/>
      <c r="D40" s="28"/>
      <c r="E40" s="28"/>
      <c r="F40" s="28"/>
      <c r="G40" s="30">
        <f t="shared" si="16"/>
        <v>0</v>
      </c>
      <c r="H40" s="30">
        <f t="shared" si="16"/>
        <v>0</v>
      </c>
      <c r="I40" s="30">
        <f t="shared" si="16"/>
        <v>0</v>
      </c>
      <c r="J40" s="30">
        <f t="shared" si="16"/>
        <v>0</v>
      </c>
      <c r="K40" s="30">
        <f t="shared" si="16"/>
        <v>0</v>
      </c>
      <c r="L40" s="30">
        <f t="shared" si="17"/>
        <v>0</v>
      </c>
      <c r="M40" s="30">
        <f t="shared" si="17"/>
        <v>0</v>
      </c>
      <c r="N40" s="30">
        <f t="shared" si="17"/>
        <v>0</v>
      </c>
      <c r="O40" s="30">
        <f t="shared" si="17"/>
        <v>0</v>
      </c>
      <c r="P40" s="30">
        <f t="shared" si="17"/>
        <v>0</v>
      </c>
      <c r="Q40" s="30">
        <f t="shared" si="17"/>
        <v>0</v>
      </c>
      <c r="R40" s="30">
        <f t="shared" si="17"/>
        <v>0</v>
      </c>
      <c r="S40" s="33">
        <f t="shared" si="18"/>
        <v>0</v>
      </c>
    </row>
    <row r="41" spans="1:19" s="23" customFormat="1" ht="13" x14ac:dyDescent="0.3">
      <c r="A41" s="28" t="s">
        <v>17</v>
      </c>
      <c r="B41" s="41">
        <v>0</v>
      </c>
      <c r="C41" s="28"/>
      <c r="D41" s="28"/>
      <c r="E41" s="28"/>
      <c r="F41" s="28"/>
      <c r="G41" s="30">
        <f t="shared" si="16"/>
        <v>0</v>
      </c>
      <c r="H41" s="30">
        <f t="shared" si="16"/>
        <v>0</v>
      </c>
      <c r="I41" s="30">
        <f t="shared" si="16"/>
        <v>0</v>
      </c>
      <c r="J41" s="30">
        <f t="shared" si="16"/>
        <v>0</v>
      </c>
      <c r="K41" s="30">
        <f t="shared" si="16"/>
        <v>0</v>
      </c>
      <c r="L41" s="30">
        <f t="shared" si="17"/>
        <v>0</v>
      </c>
      <c r="M41" s="30">
        <f t="shared" si="17"/>
        <v>0</v>
      </c>
      <c r="N41" s="30">
        <f t="shared" si="17"/>
        <v>0</v>
      </c>
      <c r="O41" s="30">
        <f t="shared" si="17"/>
        <v>0</v>
      </c>
      <c r="P41" s="30">
        <f t="shared" si="17"/>
        <v>0</v>
      </c>
      <c r="Q41" s="30">
        <f t="shared" si="17"/>
        <v>0</v>
      </c>
      <c r="R41" s="30">
        <f t="shared" si="17"/>
        <v>0</v>
      </c>
      <c r="S41" s="33">
        <f t="shared" si="18"/>
        <v>0</v>
      </c>
    </row>
    <row r="42" spans="1:19" s="23" customFormat="1" ht="13" x14ac:dyDescent="0.3">
      <c r="A42" s="28" t="s">
        <v>18</v>
      </c>
      <c r="B42" s="41">
        <v>0</v>
      </c>
      <c r="C42" s="28"/>
      <c r="D42" s="28"/>
      <c r="E42" s="28"/>
      <c r="F42" s="28"/>
      <c r="G42" s="30">
        <f t="shared" si="16"/>
        <v>0</v>
      </c>
      <c r="H42" s="30">
        <f t="shared" si="16"/>
        <v>0</v>
      </c>
      <c r="I42" s="30">
        <f t="shared" si="16"/>
        <v>0</v>
      </c>
      <c r="J42" s="30">
        <f t="shared" si="16"/>
        <v>0</v>
      </c>
      <c r="K42" s="30">
        <f t="shared" si="16"/>
        <v>0</v>
      </c>
      <c r="L42" s="30">
        <f t="shared" si="17"/>
        <v>0</v>
      </c>
      <c r="M42" s="30">
        <f t="shared" si="17"/>
        <v>0</v>
      </c>
      <c r="N42" s="30">
        <f t="shared" si="17"/>
        <v>0</v>
      </c>
      <c r="O42" s="30">
        <f t="shared" si="17"/>
        <v>0</v>
      </c>
      <c r="P42" s="30">
        <f t="shared" si="17"/>
        <v>0</v>
      </c>
      <c r="Q42" s="30">
        <f t="shared" si="17"/>
        <v>0</v>
      </c>
      <c r="R42" s="30">
        <f t="shared" si="17"/>
        <v>0</v>
      </c>
      <c r="S42" s="33">
        <f t="shared" si="18"/>
        <v>0</v>
      </c>
    </row>
    <row r="43" spans="1:19" s="23" customFormat="1" ht="13" x14ac:dyDescent="0.3">
      <c r="A43" s="28" t="s">
        <v>19</v>
      </c>
      <c r="B43" s="41"/>
      <c r="C43" s="28"/>
      <c r="D43" s="28"/>
      <c r="E43" s="28"/>
      <c r="F43" s="28"/>
      <c r="G43" s="30">
        <f t="shared" si="16"/>
        <v>0</v>
      </c>
      <c r="H43" s="30">
        <f t="shared" si="16"/>
        <v>0</v>
      </c>
      <c r="I43" s="30">
        <f t="shared" si="16"/>
        <v>0</v>
      </c>
      <c r="J43" s="30">
        <f t="shared" si="16"/>
        <v>0</v>
      </c>
      <c r="K43" s="30">
        <f t="shared" si="16"/>
        <v>0</v>
      </c>
      <c r="L43" s="30">
        <f t="shared" si="17"/>
        <v>0</v>
      </c>
      <c r="M43" s="30">
        <f t="shared" si="17"/>
        <v>0</v>
      </c>
      <c r="N43" s="30">
        <f t="shared" si="17"/>
        <v>0</v>
      </c>
      <c r="O43" s="30">
        <f t="shared" si="17"/>
        <v>0</v>
      </c>
      <c r="P43" s="30">
        <f t="shared" si="17"/>
        <v>0</v>
      </c>
      <c r="Q43" s="30">
        <f t="shared" si="17"/>
        <v>0</v>
      </c>
      <c r="R43" s="30">
        <f t="shared" si="17"/>
        <v>0</v>
      </c>
      <c r="S43" s="33">
        <f t="shared" si="18"/>
        <v>0</v>
      </c>
    </row>
    <row r="44" spans="1:19" s="23" customFormat="1" ht="13" x14ac:dyDescent="0.3">
      <c r="A44" s="28" t="s">
        <v>24</v>
      </c>
      <c r="B44" s="41"/>
      <c r="C44" s="28"/>
      <c r="D44" s="28"/>
      <c r="E44" s="28"/>
      <c r="F44" s="28"/>
      <c r="G44" s="30">
        <f t="shared" si="16"/>
        <v>0</v>
      </c>
      <c r="H44" s="30">
        <f t="shared" si="16"/>
        <v>0</v>
      </c>
      <c r="I44" s="30">
        <f t="shared" si="16"/>
        <v>0</v>
      </c>
      <c r="J44" s="30">
        <f t="shared" si="16"/>
        <v>0</v>
      </c>
      <c r="K44" s="30">
        <f t="shared" si="16"/>
        <v>0</v>
      </c>
      <c r="L44" s="30">
        <f t="shared" si="17"/>
        <v>0</v>
      </c>
      <c r="M44" s="30">
        <f t="shared" si="17"/>
        <v>0</v>
      </c>
      <c r="N44" s="30">
        <f t="shared" si="17"/>
        <v>0</v>
      </c>
      <c r="O44" s="30">
        <f t="shared" si="17"/>
        <v>0</v>
      </c>
      <c r="P44" s="30">
        <f t="shared" si="17"/>
        <v>0</v>
      </c>
      <c r="Q44" s="30">
        <f t="shared" si="17"/>
        <v>0</v>
      </c>
      <c r="R44" s="30">
        <f t="shared" si="17"/>
        <v>0</v>
      </c>
      <c r="S44" s="33">
        <f t="shared" si="18"/>
        <v>0</v>
      </c>
    </row>
    <row r="45" spans="1:19" s="40" customFormat="1" ht="13.5" thickBot="1" x14ac:dyDescent="0.35">
      <c r="A45" s="36" t="s">
        <v>6</v>
      </c>
      <c r="B45" s="37"/>
      <c r="C45" s="36"/>
      <c r="D45" s="36"/>
      <c r="E45" s="36"/>
      <c r="F45" s="36"/>
      <c r="G45" s="38">
        <f>SUM(G38:G44)</f>
        <v>2475</v>
      </c>
      <c r="H45" s="38">
        <f t="shared" ref="H45:R45" si="19">SUM(H38:H44)</f>
        <v>2475</v>
      </c>
      <c r="I45" s="38">
        <f t="shared" si="19"/>
        <v>2475</v>
      </c>
      <c r="J45" s="38">
        <f t="shared" si="19"/>
        <v>2475</v>
      </c>
      <c r="K45" s="38">
        <f t="shared" si="19"/>
        <v>2475</v>
      </c>
      <c r="L45" s="38">
        <f>SUM(L38:L44)</f>
        <v>2000</v>
      </c>
      <c r="M45" s="38">
        <f t="shared" si="19"/>
        <v>2000</v>
      </c>
      <c r="N45" s="38">
        <f t="shared" si="19"/>
        <v>2000</v>
      </c>
      <c r="O45" s="38">
        <f t="shared" si="19"/>
        <v>2000</v>
      </c>
      <c r="P45" s="38">
        <f t="shared" si="19"/>
        <v>2000</v>
      </c>
      <c r="Q45" s="38">
        <f t="shared" si="19"/>
        <v>2000</v>
      </c>
      <c r="R45" s="38">
        <f t="shared" si="19"/>
        <v>2000</v>
      </c>
      <c r="S45" s="39">
        <f>SUM(S38:S44)</f>
        <v>26375</v>
      </c>
    </row>
    <row r="46" spans="1:19" ht="15" thickTop="1" x14ac:dyDescent="0.35">
      <c r="S46" s="48"/>
    </row>
    <row r="47" spans="1:19" s="47" customFormat="1" ht="13" x14ac:dyDescent="0.3">
      <c r="A47" s="43" t="s">
        <v>29</v>
      </c>
      <c r="B47" s="44">
        <v>0</v>
      </c>
      <c r="C47" s="43"/>
      <c r="D47" s="43"/>
      <c r="E47" s="43"/>
      <c r="F47" s="43"/>
      <c r="G47" s="45">
        <f>SUM($C$37:$D$37)/12*$B47</f>
        <v>0</v>
      </c>
      <c r="H47" s="45">
        <f t="shared" ref="H47:K47" si="20">SUM($C$37:$D$37)/12*$B47</f>
        <v>0</v>
      </c>
      <c r="I47" s="45">
        <f t="shared" si="20"/>
        <v>0</v>
      </c>
      <c r="J47" s="45">
        <f t="shared" si="20"/>
        <v>0</v>
      </c>
      <c r="K47" s="45">
        <f t="shared" si="20"/>
        <v>0</v>
      </c>
      <c r="L47" s="45">
        <f>SUM($E$37)/12*$B47</f>
        <v>0</v>
      </c>
      <c r="M47" s="45">
        <f t="shared" ref="M47:R47" si="21">SUM($E$37)/12*$B47</f>
        <v>0</v>
      </c>
      <c r="N47" s="45">
        <f t="shared" si="21"/>
        <v>0</v>
      </c>
      <c r="O47" s="45">
        <f t="shared" si="21"/>
        <v>0</v>
      </c>
      <c r="P47" s="45">
        <f t="shared" si="21"/>
        <v>0</v>
      </c>
      <c r="Q47" s="45">
        <f t="shared" si="21"/>
        <v>0</v>
      </c>
      <c r="R47" s="45">
        <f t="shared" si="21"/>
        <v>0</v>
      </c>
      <c r="S47" s="46">
        <f>SUM(G47:R47)</f>
        <v>0</v>
      </c>
    </row>
    <row r="50" spans="1:19" s="23" customFormat="1" ht="13" x14ac:dyDescent="0.3">
      <c r="A50" s="29" t="s">
        <v>31</v>
      </c>
      <c r="B50" s="31"/>
      <c r="C50" s="30">
        <v>30000</v>
      </c>
      <c r="D50" s="30">
        <f>C50*0.188</f>
        <v>5640</v>
      </c>
      <c r="E50" s="30"/>
      <c r="F50" s="30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32"/>
    </row>
    <row r="51" spans="1:19" s="23" customFormat="1" ht="13" x14ac:dyDescent="0.3">
      <c r="A51" s="28" t="s">
        <v>11</v>
      </c>
      <c r="B51" s="41">
        <v>0.1</v>
      </c>
      <c r="C51" s="28"/>
      <c r="D51" s="28"/>
      <c r="E51" s="28"/>
      <c r="F51" s="28"/>
      <c r="G51" s="30">
        <f t="shared" ref="G51:K57" si="22">SUM($C$50:$D$50)/12*$B51</f>
        <v>297</v>
      </c>
      <c r="H51" s="30">
        <f t="shared" si="22"/>
        <v>297</v>
      </c>
      <c r="I51" s="30">
        <f t="shared" si="22"/>
        <v>297</v>
      </c>
      <c r="J51" s="30">
        <f t="shared" si="22"/>
        <v>297</v>
      </c>
      <c r="K51" s="30">
        <f t="shared" si="22"/>
        <v>297</v>
      </c>
      <c r="L51" s="30">
        <f>SUM($C$50:$D$50)/12*$B51/2</f>
        <v>148.5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3">
        <f>SUM(G51:R51)</f>
        <v>1633.5</v>
      </c>
    </row>
    <row r="52" spans="1:19" s="23" customFormat="1" ht="13" x14ac:dyDescent="0.3">
      <c r="A52" s="28" t="s">
        <v>12</v>
      </c>
      <c r="B52" s="41">
        <v>0.5</v>
      </c>
      <c r="C52" s="28"/>
      <c r="D52" s="28"/>
      <c r="E52" s="28"/>
      <c r="F52" s="28"/>
      <c r="G52" s="30">
        <f t="shared" si="22"/>
        <v>1485</v>
      </c>
      <c r="H52" s="30">
        <f t="shared" si="22"/>
        <v>1485</v>
      </c>
      <c r="I52" s="30">
        <f t="shared" si="22"/>
        <v>1485</v>
      </c>
      <c r="J52" s="30">
        <f t="shared" si="22"/>
        <v>1485</v>
      </c>
      <c r="K52" s="30">
        <f t="shared" si="22"/>
        <v>1485</v>
      </c>
      <c r="L52" s="30">
        <f t="shared" ref="L52:L57" si="23">SUM($C$50:$D$50)/12*$B52/2</f>
        <v>742.5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3">
        <f t="shared" ref="S52:S57" si="24">SUM(G52:R52)</f>
        <v>8167.5</v>
      </c>
    </row>
    <row r="53" spans="1:19" s="23" customFormat="1" ht="13" x14ac:dyDescent="0.3">
      <c r="A53" s="28" t="s">
        <v>14</v>
      </c>
      <c r="B53" s="41">
        <v>0.1</v>
      </c>
      <c r="C53" s="28"/>
      <c r="D53" s="28"/>
      <c r="E53" s="28"/>
      <c r="F53" s="28"/>
      <c r="G53" s="30">
        <f t="shared" si="22"/>
        <v>297</v>
      </c>
      <c r="H53" s="30">
        <f t="shared" si="22"/>
        <v>297</v>
      </c>
      <c r="I53" s="30">
        <f t="shared" si="22"/>
        <v>297</v>
      </c>
      <c r="J53" s="30">
        <f t="shared" si="22"/>
        <v>297</v>
      </c>
      <c r="K53" s="30">
        <f t="shared" si="22"/>
        <v>297</v>
      </c>
      <c r="L53" s="30">
        <f t="shared" si="23"/>
        <v>148.5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3">
        <f t="shared" si="24"/>
        <v>1633.5</v>
      </c>
    </row>
    <row r="54" spans="1:19" s="23" customFormat="1" ht="13" x14ac:dyDescent="0.3">
      <c r="A54" s="28" t="s">
        <v>17</v>
      </c>
      <c r="B54" s="41">
        <v>0.1</v>
      </c>
      <c r="C54" s="28"/>
      <c r="D54" s="28"/>
      <c r="E54" s="28"/>
      <c r="F54" s="28"/>
      <c r="G54" s="30">
        <f t="shared" si="22"/>
        <v>297</v>
      </c>
      <c r="H54" s="30">
        <f t="shared" si="22"/>
        <v>297</v>
      </c>
      <c r="I54" s="30">
        <f t="shared" si="22"/>
        <v>297</v>
      </c>
      <c r="J54" s="30">
        <f t="shared" si="22"/>
        <v>297</v>
      </c>
      <c r="K54" s="30">
        <f t="shared" si="22"/>
        <v>297</v>
      </c>
      <c r="L54" s="30">
        <f t="shared" si="23"/>
        <v>148.5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3">
        <f t="shared" si="24"/>
        <v>1633.5</v>
      </c>
    </row>
    <row r="55" spans="1:19" s="23" customFormat="1" ht="13" x14ac:dyDescent="0.3">
      <c r="A55" s="28" t="s">
        <v>18</v>
      </c>
      <c r="B55" s="41">
        <v>0.1</v>
      </c>
      <c r="C55" s="28"/>
      <c r="D55" s="28"/>
      <c r="E55" s="28"/>
      <c r="F55" s="28"/>
      <c r="G55" s="30">
        <f t="shared" si="22"/>
        <v>297</v>
      </c>
      <c r="H55" s="30">
        <f t="shared" si="22"/>
        <v>297</v>
      </c>
      <c r="I55" s="30">
        <f t="shared" si="22"/>
        <v>297</v>
      </c>
      <c r="J55" s="30">
        <f t="shared" si="22"/>
        <v>297</v>
      </c>
      <c r="K55" s="30">
        <f t="shared" si="22"/>
        <v>297</v>
      </c>
      <c r="L55" s="30">
        <f t="shared" si="23"/>
        <v>148.5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3">
        <f t="shared" si="24"/>
        <v>1633.5</v>
      </c>
    </row>
    <row r="56" spans="1:19" s="23" customFormat="1" ht="13" x14ac:dyDescent="0.3">
      <c r="A56" s="28" t="s">
        <v>19</v>
      </c>
      <c r="B56" s="41">
        <v>0.1</v>
      </c>
      <c r="C56" s="28"/>
      <c r="D56" s="28"/>
      <c r="E56" s="28"/>
      <c r="F56" s="28"/>
      <c r="G56" s="30">
        <f t="shared" si="22"/>
        <v>297</v>
      </c>
      <c r="H56" s="30">
        <f t="shared" si="22"/>
        <v>297</v>
      </c>
      <c r="I56" s="30">
        <f t="shared" si="22"/>
        <v>297</v>
      </c>
      <c r="J56" s="30">
        <f t="shared" si="22"/>
        <v>297</v>
      </c>
      <c r="K56" s="30">
        <f t="shared" si="22"/>
        <v>297</v>
      </c>
      <c r="L56" s="30">
        <f t="shared" si="23"/>
        <v>148.5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3">
        <f t="shared" si="24"/>
        <v>1633.5</v>
      </c>
    </row>
    <row r="57" spans="1:19" s="23" customFormat="1" ht="13" x14ac:dyDescent="0.3">
      <c r="A57" s="28" t="s">
        <v>24</v>
      </c>
      <c r="B57" s="41"/>
      <c r="C57" s="28"/>
      <c r="D57" s="28"/>
      <c r="E57" s="28"/>
      <c r="F57" s="28"/>
      <c r="G57" s="30">
        <f t="shared" si="22"/>
        <v>0</v>
      </c>
      <c r="H57" s="30">
        <f t="shared" si="22"/>
        <v>0</v>
      </c>
      <c r="I57" s="30">
        <f t="shared" si="22"/>
        <v>0</v>
      </c>
      <c r="J57" s="30">
        <f t="shared" si="22"/>
        <v>0</v>
      </c>
      <c r="K57" s="30">
        <f t="shared" si="22"/>
        <v>0</v>
      </c>
      <c r="L57" s="30">
        <f t="shared" si="23"/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3">
        <f t="shared" si="24"/>
        <v>0</v>
      </c>
    </row>
    <row r="58" spans="1:19" s="40" customFormat="1" ht="13.5" thickBot="1" x14ac:dyDescent="0.35">
      <c r="A58" s="36" t="s">
        <v>6</v>
      </c>
      <c r="B58" s="37"/>
      <c r="C58" s="36"/>
      <c r="D58" s="36"/>
      <c r="E58" s="36"/>
      <c r="F58" s="36"/>
      <c r="G58" s="38">
        <f>SUM(G51:G57)</f>
        <v>2970</v>
      </c>
      <c r="H58" s="38">
        <f t="shared" ref="H58:K58" si="25">SUM(H51:H57)</f>
        <v>2970</v>
      </c>
      <c r="I58" s="38">
        <f t="shared" si="25"/>
        <v>2970</v>
      </c>
      <c r="J58" s="38">
        <f t="shared" si="25"/>
        <v>2970</v>
      </c>
      <c r="K58" s="38">
        <f t="shared" si="25"/>
        <v>2970</v>
      </c>
      <c r="L58" s="38">
        <f>SUM(L51:L57)</f>
        <v>1485</v>
      </c>
      <c r="M58" s="38">
        <f t="shared" ref="M58:R58" si="26">SUM(M51:M57)</f>
        <v>0</v>
      </c>
      <c r="N58" s="38">
        <f t="shared" si="26"/>
        <v>0</v>
      </c>
      <c r="O58" s="38">
        <f t="shared" si="26"/>
        <v>0</v>
      </c>
      <c r="P58" s="38">
        <f t="shared" si="26"/>
        <v>0</v>
      </c>
      <c r="Q58" s="38">
        <f t="shared" si="26"/>
        <v>0</v>
      </c>
      <c r="R58" s="38">
        <f t="shared" si="26"/>
        <v>0</v>
      </c>
      <c r="S58" s="39">
        <f>SUM(S51:S57)</f>
        <v>16335</v>
      </c>
    </row>
    <row r="59" spans="1:19" ht="15" thickTop="1" x14ac:dyDescent="0.35">
      <c r="S59" s="48"/>
    </row>
    <row r="60" spans="1:19" s="23" customFormat="1" ht="13" x14ac:dyDescent="0.3">
      <c r="A60" s="29" t="s">
        <v>34</v>
      </c>
      <c r="B60" s="31"/>
      <c r="C60" s="30">
        <v>26820</v>
      </c>
      <c r="D60" s="30">
        <f>C60*0.188</f>
        <v>5042.16</v>
      </c>
      <c r="E60" s="30">
        <f>C60/2</f>
        <v>13410</v>
      </c>
      <c r="F60" s="30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32"/>
    </row>
    <row r="61" spans="1:19" s="23" customFormat="1" ht="13" x14ac:dyDescent="0.3">
      <c r="A61" s="28" t="s">
        <v>11</v>
      </c>
      <c r="B61" s="41"/>
      <c r="C61" s="28"/>
      <c r="D61" s="28"/>
      <c r="E61" s="28"/>
      <c r="F61" s="28"/>
      <c r="G61" s="30">
        <f>SUM($C$60:$D$60)/12*$B61</f>
        <v>0</v>
      </c>
      <c r="H61" s="30">
        <f t="shared" ref="G61:J68" si="27">SUM($C$60:$D$60)/12*$B61</f>
        <v>0</v>
      </c>
      <c r="I61" s="30">
        <f t="shared" si="27"/>
        <v>0</v>
      </c>
      <c r="J61" s="30">
        <f t="shared" si="27"/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3">
        <f>SUM(G61:R61)</f>
        <v>0</v>
      </c>
    </row>
    <row r="62" spans="1:19" s="23" customFormat="1" ht="13" x14ac:dyDescent="0.3">
      <c r="A62" s="28" t="s">
        <v>12</v>
      </c>
      <c r="B62" s="41">
        <v>0.45</v>
      </c>
      <c r="C62" s="28"/>
      <c r="D62" s="28"/>
      <c r="E62" s="28"/>
      <c r="F62" s="28"/>
      <c r="G62" s="30">
        <f>SUM($C$60:$D$60)/12*$B62</f>
        <v>1194.8309999999999</v>
      </c>
      <c r="H62" s="30">
        <f t="shared" si="27"/>
        <v>1194.8309999999999</v>
      </c>
      <c r="I62" s="30">
        <f t="shared" si="27"/>
        <v>1194.8309999999999</v>
      </c>
      <c r="J62" s="30">
        <f t="shared" si="27"/>
        <v>1194.8309999999999</v>
      </c>
      <c r="K62" s="30">
        <f>SUM($C$60:$D$60)/12*$B62/2+SUM($E$60/12/2*B62)</f>
        <v>848.85299999999995</v>
      </c>
      <c r="L62" s="30">
        <f>SUM($E$60)/12*0.9</f>
        <v>1005.75</v>
      </c>
      <c r="M62" s="30">
        <f t="shared" ref="M62:R62" si="28">SUM($E$60)/12*0.9</f>
        <v>1005.75</v>
      </c>
      <c r="N62" s="30">
        <f t="shared" si="28"/>
        <v>1005.75</v>
      </c>
      <c r="O62" s="30">
        <f t="shared" si="28"/>
        <v>1005.75</v>
      </c>
      <c r="P62" s="30">
        <f t="shared" si="28"/>
        <v>1005.75</v>
      </c>
      <c r="Q62" s="30">
        <f t="shared" si="28"/>
        <v>1005.75</v>
      </c>
      <c r="R62" s="30">
        <f t="shared" si="28"/>
        <v>1005.75</v>
      </c>
      <c r="S62" s="33">
        <f t="shared" ref="S62:S69" si="29">SUM(G62:R62)</f>
        <v>12668.427</v>
      </c>
    </row>
    <row r="63" spans="1:19" s="23" customFormat="1" ht="13" x14ac:dyDescent="0.3">
      <c r="A63" s="28" t="s">
        <v>14</v>
      </c>
      <c r="B63" s="41"/>
      <c r="C63" s="28"/>
      <c r="D63" s="28"/>
      <c r="E63" s="28"/>
      <c r="F63" s="28"/>
      <c r="G63" s="30">
        <f t="shared" si="27"/>
        <v>0</v>
      </c>
      <c r="H63" s="30">
        <f t="shared" si="27"/>
        <v>0</v>
      </c>
      <c r="I63" s="30">
        <f t="shared" si="27"/>
        <v>0</v>
      </c>
      <c r="J63" s="30">
        <f t="shared" si="27"/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3">
        <f t="shared" si="29"/>
        <v>0</v>
      </c>
    </row>
    <row r="64" spans="1:19" s="23" customFormat="1" ht="13" x14ac:dyDescent="0.3">
      <c r="A64" s="28" t="s">
        <v>17</v>
      </c>
      <c r="B64" s="41"/>
      <c r="C64" s="28"/>
      <c r="D64" s="28"/>
      <c r="E64" s="28"/>
      <c r="F64" s="28"/>
      <c r="G64" s="30">
        <f t="shared" si="27"/>
        <v>0</v>
      </c>
      <c r="H64" s="30">
        <f t="shared" si="27"/>
        <v>0</v>
      </c>
      <c r="I64" s="30">
        <f t="shared" si="27"/>
        <v>0</v>
      </c>
      <c r="J64" s="30">
        <f t="shared" si="27"/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3">
        <f t="shared" si="29"/>
        <v>0</v>
      </c>
    </row>
    <row r="65" spans="1:19" s="23" customFormat="1" ht="13" x14ac:dyDescent="0.3">
      <c r="A65" s="28" t="s">
        <v>18</v>
      </c>
      <c r="B65" s="41"/>
      <c r="C65" s="28"/>
      <c r="D65" s="28"/>
      <c r="E65" s="28"/>
      <c r="F65" s="28"/>
      <c r="G65" s="30">
        <f t="shared" si="27"/>
        <v>0</v>
      </c>
      <c r="H65" s="30">
        <f t="shared" si="27"/>
        <v>0</v>
      </c>
      <c r="I65" s="30">
        <f t="shared" si="27"/>
        <v>0</v>
      </c>
      <c r="J65" s="30">
        <f t="shared" si="27"/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3">
        <f t="shared" si="29"/>
        <v>0</v>
      </c>
    </row>
    <row r="66" spans="1:19" s="23" customFormat="1" ht="13" x14ac:dyDescent="0.3">
      <c r="A66" s="28" t="s">
        <v>19</v>
      </c>
      <c r="B66" s="41"/>
      <c r="C66" s="28"/>
      <c r="D66" s="28"/>
      <c r="E66" s="28"/>
      <c r="F66" s="28"/>
      <c r="G66" s="30">
        <f t="shared" si="27"/>
        <v>0</v>
      </c>
      <c r="H66" s="30">
        <f t="shared" si="27"/>
        <v>0</v>
      </c>
      <c r="I66" s="30">
        <f t="shared" si="27"/>
        <v>0</v>
      </c>
      <c r="J66" s="30">
        <f t="shared" si="27"/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3">
        <f t="shared" si="29"/>
        <v>0</v>
      </c>
    </row>
    <row r="67" spans="1:19" s="23" customFormat="1" ht="13" x14ac:dyDescent="0.3">
      <c r="A67" s="28" t="s">
        <v>24</v>
      </c>
      <c r="B67" s="41"/>
      <c r="C67" s="28"/>
      <c r="D67" s="28"/>
      <c r="E67" s="28"/>
      <c r="F67" s="28"/>
      <c r="G67" s="30">
        <f t="shared" si="27"/>
        <v>0</v>
      </c>
      <c r="H67" s="30">
        <f t="shared" si="27"/>
        <v>0</v>
      </c>
      <c r="I67" s="30">
        <f t="shared" si="27"/>
        <v>0</v>
      </c>
      <c r="J67" s="30">
        <f t="shared" si="27"/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3">
        <f t="shared" si="29"/>
        <v>0</v>
      </c>
    </row>
    <row r="68" spans="1:19" s="23" customFormat="1" ht="13" x14ac:dyDescent="0.3">
      <c r="A68" s="28" t="s">
        <v>13</v>
      </c>
      <c r="B68" s="41">
        <v>0.45</v>
      </c>
      <c r="C68" s="28"/>
      <c r="D68" s="28"/>
      <c r="E68" s="28"/>
      <c r="F68" s="28"/>
      <c r="G68" s="30">
        <f t="shared" si="27"/>
        <v>1194.8309999999999</v>
      </c>
      <c r="H68" s="30">
        <f t="shared" si="27"/>
        <v>1194.8309999999999</v>
      </c>
      <c r="I68" s="30">
        <f t="shared" si="27"/>
        <v>1194.8309999999999</v>
      </c>
      <c r="J68" s="30">
        <f t="shared" si="27"/>
        <v>1194.8309999999999</v>
      </c>
      <c r="K68" s="30">
        <f t="shared" ref="K68" si="30">SUM($C$60:$D$60)/12*$B68/2+SUM($E$60/12/2*B68)</f>
        <v>848.85299999999995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3">
        <f t="shared" si="29"/>
        <v>5628.1769999999997</v>
      </c>
    </row>
    <row r="69" spans="1:19" s="23" customFormat="1" ht="13" x14ac:dyDescent="0.3">
      <c r="A69" s="28" t="s">
        <v>37</v>
      </c>
      <c r="B69" s="41">
        <v>-0.5</v>
      </c>
      <c r="C69" s="28"/>
      <c r="D69" s="28"/>
      <c r="E69" s="28"/>
      <c r="F69" s="28"/>
      <c r="G69" s="30">
        <f>SUM($C$60)/12*$B69</f>
        <v>-1117.5</v>
      </c>
      <c r="H69" s="30">
        <f t="shared" ref="H69:J69" si="31">SUM($C$60)/12*$B69</f>
        <v>-1117.5</v>
      </c>
      <c r="I69" s="30">
        <f t="shared" si="31"/>
        <v>-1117.5</v>
      </c>
      <c r="J69" s="30">
        <f t="shared" si="31"/>
        <v>-1117.5</v>
      </c>
      <c r="K69" s="30">
        <f>SUM($C$60)/12*$B69/2+SUM($E$60/12/2*B69)</f>
        <v>-838.125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3">
        <f t="shared" si="29"/>
        <v>-5308.125</v>
      </c>
    </row>
    <row r="70" spans="1:19" s="40" customFormat="1" ht="13.5" thickBot="1" x14ac:dyDescent="0.35">
      <c r="A70" s="36" t="s">
        <v>6</v>
      </c>
      <c r="B70" s="37"/>
      <c r="C70" s="36"/>
      <c r="D70" s="36"/>
      <c r="E70" s="36"/>
      <c r="F70" s="36"/>
      <c r="G70" s="38">
        <f>SUM(G61:G69)</f>
        <v>1272.1619999999998</v>
      </c>
      <c r="H70" s="38">
        <f t="shared" ref="H70:R70" si="32">SUM(H61:H69)</f>
        <v>1272.1619999999998</v>
      </c>
      <c r="I70" s="38">
        <f t="shared" si="32"/>
        <v>1272.1619999999998</v>
      </c>
      <c r="J70" s="38">
        <f t="shared" si="32"/>
        <v>1272.1619999999998</v>
      </c>
      <c r="K70" s="38">
        <f t="shared" si="32"/>
        <v>859.5809999999999</v>
      </c>
      <c r="L70" s="38">
        <f t="shared" si="32"/>
        <v>1005.75</v>
      </c>
      <c r="M70" s="38">
        <f t="shared" si="32"/>
        <v>1005.75</v>
      </c>
      <c r="N70" s="38">
        <f t="shared" si="32"/>
        <v>1005.75</v>
      </c>
      <c r="O70" s="38">
        <f t="shared" si="32"/>
        <v>1005.75</v>
      </c>
      <c r="P70" s="38">
        <f t="shared" si="32"/>
        <v>1005.75</v>
      </c>
      <c r="Q70" s="38">
        <f t="shared" si="32"/>
        <v>1005.75</v>
      </c>
      <c r="R70" s="38">
        <f t="shared" si="32"/>
        <v>1005.75</v>
      </c>
      <c r="S70" s="39">
        <f>SUM(S61:S67)</f>
        <v>12668.427</v>
      </c>
    </row>
    <row r="71" spans="1:19" ht="15" thickTop="1" x14ac:dyDescent="0.35"/>
    <row r="72" spans="1:19" s="47" customFormat="1" ht="13" x14ac:dyDescent="0.3">
      <c r="A72" s="43" t="s">
        <v>29</v>
      </c>
      <c r="B72" s="44">
        <v>0.1</v>
      </c>
      <c r="C72" s="43"/>
      <c r="D72" s="43"/>
      <c r="E72" s="43"/>
      <c r="F72" s="43"/>
      <c r="G72" s="45">
        <f>SUM($C$60:$D$60)/12*$B72</f>
        <v>265.51799999999997</v>
      </c>
      <c r="H72" s="45">
        <f t="shared" ref="H72:J72" si="33">SUM($C$60:$D$60)/12*$B72</f>
        <v>265.51799999999997</v>
      </c>
      <c r="I72" s="45">
        <f t="shared" si="33"/>
        <v>265.51799999999997</v>
      </c>
      <c r="J72" s="45">
        <f t="shared" si="33"/>
        <v>265.51799999999997</v>
      </c>
      <c r="K72" s="45">
        <f t="shared" ref="K72" si="34">SUM($C$60:$D$60)/12*$B72/2+SUM($E$60/12/2*B72)</f>
        <v>188.63399999999999</v>
      </c>
      <c r="L72" s="45">
        <f>SUM($E$60)/12*0.1</f>
        <v>111.75</v>
      </c>
      <c r="M72" s="45">
        <f t="shared" ref="M72:R72" si="35">SUM($E$60)/12*0.1</f>
        <v>111.75</v>
      </c>
      <c r="N72" s="45">
        <f t="shared" si="35"/>
        <v>111.75</v>
      </c>
      <c r="O72" s="45">
        <f t="shared" si="35"/>
        <v>111.75</v>
      </c>
      <c r="P72" s="45">
        <f t="shared" si="35"/>
        <v>111.75</v>
      </c>
      <c r="Q72" s="45">
        <f t="shared" si="35"/>
        <v>111.75</v>
      </c>
      <c r="R72" s="45">
        <f t="shared" si="35"/>
        <v>111.75</v>
      </c>
      <c r="S72" s="46">
        <f>SUM(G72:R72)</f>
        <v>2032.9559999999999</v>
      </c>
    </row>
    <row r="73" spans="1:19" s="23" customFormat="1" ht="13" x14ac:dyDescent="0.3">
      <c r="A73" s="28"/>
      <c r="B73" s="49"/>
      <c r="C73" s="28"/>
      <c r="D73" s="28"/>
      <c r="E73" s="28"/>
      <c r="F73" s="28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3"/>
    </row>
    <row r="74" spans="1:19" s="23" customFormat="1" ht="13" x14ac:dyDescent="0.3">
      <c r="A74" s="29" t="s">
        <v>36</v>
      </c>
      <c r="B74" s="31"/>
      <c r="C74" s="30">
        <v>26000</v>
      </c>
      <c r="D74" s="30">
        <f>C74*0.188</f>
        <v>4888</v>
      </c>
      <c r="E74" s="30">
        <f>C74/2</f>
        <v>13000</v>
      </c>
      <c r="F74" s="30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32"/>
    </row>
    <row r="75" spans="1:19" s="23" customFormat="1" ht="13" x14ac:dyDescent="0.3">
      <c r="A75" s="28" t="s">
        <v>11</v>
      </c>
      <c r="B75" s="41"/>
      <c r="C75" s="28"/>
      <c r="D75" s="28"/>
      <c r="E75" s="28"/>
      <c r="F75" s="28"/>
      <c r="G75" s="30">
        <f>SUM($C$74:$D$74)/12*$B75</f>
        <v>0</v>
      </c>
      <c r="H75" s="30">
        <f t="shared" ref="H75:J75" si="36">SUM($C$74:$D$74)/12*$B75</f>
        <v>0</v>
      </c>
      <c r="I75" s="30">
        <f t="shared" si="36"/>
        <v>0</v>
      </c>
      <c r="J75" s="30">
        <f t="shared" si="36"/>
        <v>0</v>
      </c>
      <c r="K75" s="30">
        <f>SUM($C$74:$D$74)/12*$B75/2+SUM($E$74/12/2*B75)</f>
        <v>0</v>
      </c>
      <c r="L75" s="30">
        <f>SUM($E$74)/12*$B75</f>
        <v>0</v>
      </c>
      <c r="M75" s="30">
        <f t="shared" ref="M75:R75" si="37">SUM($E$74)/12*$B75</f>
        <v>0</v>
      </c>
      <c r="N75" s="30">
        <f t="shared" si="37"/>
        <v>0</v>
      </c>
      <c r="O75" s="30">
        <f t="shared" si="37"/>
        <v>0</v>
      </c>
      <c r="P75" s="30">
        <f t="shared" si="37"/>
        <v>0</v>
      </c>
      <c r="Q75" s="30">
        <f t="shared" si="37"/>
        <v>0</v>
      </c>
      <c r="R75" s="30">
        <f t="shared" si="37"/>
        <v>0</v>
      </c>
      <c r="S75" s="33">
        <f>SUM(G75:R75)</f>
        <v>0</v>
      </c>
    </row>
    <row r="76" spans="1:19" s="23" customFormat="1" ht="13" x14ac:dyDescent="0.3">
      <c r="A76" s="28" t="s">
        <v>12</v>
      </c>
      <c r="B76" s="41">
        <v>0.5</v>
      </c>
      <c r="C76" s="28"/>
      <c r="D76" s="28"/>
      <c r="E76" s="28"/>
      <c r="F76" s="28"/>
      <c r="G76" s="30">
        <f t="shared" ref="G76:J82" si="38">SUM($C$74:$D$74)/12*$B76</f>
        <v>1287</v>
      </c>
      <c r="H76" s="30">
        <f t="shared" si="38"/>
        <v>1287</v>
      </c>
      <c r="I76" s="30">
        <f t="shared" si="38"/>
        <v>1287</v>
      </c>
      <c r="J76" s="30">
        <f t="shared" si="38"/>
        <v>1287</v>
      </c>
      <c r="K76" s="30">
        <f t="shared" ref="K76:K82" si="39">SUM($C$74:$D$74)/12*$B76/2+SUM($E$74/12/2*B76)</f>
        <v>914.33333333333326</v>
      </c>
      <c r="L76" s="30">
        <f t="shared" ref="L76:R82" si="40">SUM($E$74)/12*$B76</f>
        <v>541.66666666666663</v>
      </c>
      <c r="M76" s="30">
        <f t="shared" si="40"/>
        <v>541.66666666666663</v>
      </c>
      <c r="N76" s="30">
        <f t="shared" si="40"/>
        <v>541.66666666666663</v>
      </c>
      <c r="O76" s="30">
        <f t="shared" si="40"/>
        <v>541.66666666666663</v>
      </c>
      <c r="P76" s="30">
        <f t="shared" si="40"/>
        <v>541.66666666666663</v>
      </c>
      <c r="Q76" s="30">
        <f t="shared" si="40"/>
        <v>541.66666666666663</v>
      </c>
      <c r="R76" s="30">
        <f t="shared" si="40"/>
        <v>541.66666666666663</v>
      </c>
      <c r="S76" s="33">
        <f t="shared" ref="S76:S83" si="41">SUM(G76:R76)</f>
        <v>9853.9999999999982</v>
      </c>
    </row>
    <row r="77" spans="1:19" s="23" customFormat="1" ht="13" x14ac:dyDescent="0.3">
      <c r="A77" s="28" t="s">
        <v>14</v>
      </c>
      <c r="B77" s="41"/>
      <c r="C77" s="28"/>
      <c r="D77" s="28"/>
      <c r="E77" s="28"/>
      <c r="F77" s="28"/>
      <c r="G77" s="30">
        <f t="shared" si="38"/>
        <v>0</v>
      </c>
      <c r="H77" s="30">
        <f t="shared" si="38"/>
        <v>0</v>
      </c>
      <c r="I77" s="30">
        <f t="shared" si="38"/>
        <v>0</v>
      </c>
      <c r="J77" s="30">
        <f t="shared" si="38"/>
        <v>0</v>
      </c>
      <c r="K77" s="30">
        <f t="shared" si="39"/>
        <v>0</v>
      </c>
      <c r="L77" s="30">
        <f t="shared" si="40"/>
        <v>0</v>
      </c>
      <c r="M77" s="30">
        <f t="shared" si="40"/>
        <v>0</v>
      </c>
      <c r="N77" s="30">
        <f t="shared" si="40"/>
        <v>0</v>
      </c>
      <c r="O77" s="30">
        <f t="shared" si="40"/>
        <v>0</v>
      </c>
      <c r="P77" s="30">
        <f t="shared" si="40"/>
        <v>0</v>
      </c>
      <c r="Q77" s="30">
        <f t="shared" si="40"/>
        <v>0</v>
      </c>
      <c r="R77" s="30">
        <f t="shared" si="40"/>
        <v>0</v>
      </c>
      <c r="S77" s="33">
        <f t="shared" si="41"/>
        <v>0</v>
      </c>
    </row>
    <row r="78" spans="1:19" s="23" customFormat="1" ht="13" x14ac:dyDescent="0.3">
      <c r="A78" s="28" t="s">
        <v>17</v>
      </c>
      <c r="B78" s="41"/>
      <c r="C78" s="28"/>
      <c r="D78" s="28"/>
      <c r="E78" s="28"/>
      <c r="F78" s="28"/>
      <c r="G78" s="30">
        <f t="shared" si="38"/>
        <v>0</v>
      </c>
      <c r="H78" s="30">
        <f t="shared" si="38"/>
        <v>0</v>
      </c>
      <c r="I78" s="30">
        <f t="shared" si="38"/>
        <v>0</v>
      </c>
      <c r="J78" s="30">
        <f t="shared" si="38"/>
        <v>0</v>
      </c>
      <c r="K78" s="30">
        <f t="shared" si="39"/>
        <v>0</v>
      </c>
      <c r="L78" s="30">
        <f t="shared" si="40"/>
        <v>0</v>
      </c>
      <c r="M78" s="30">
        <f t="shared" si="40"/>
        <v>0</v>
      </c>
      <c r="N78" s="30">
        <f t="shared" si="40"/>
        <v>0</v>
      </c>
      <c r="O78" s="30">
        <f t="shared" si="40"/>
        <v>0</v>
      </c>
      <c r="P78" s="30">
        <f t="shared" si="40"/>
        <v>0</v>
      </c>
      <c r="Q78" s="30">
        <f t="shared" si="40"/>
        <v>0</v>
      </c>
      <c r="R78" s="30">
        <f t="shared" si="40"/>
        <v>0</v>
      </c>
      <c r="S78" s="33">
        <f t="shared" si="41"/>
        <v>0</v>
      </c>
    </row>
    <row r="79" spans="1:19" s="23" customFormat="1" ht="13" x14ac:dyDescent="0.3">
      <c r="A79" s="28" t="s">
        <v>18</v>
      </c>
      <c r="B79" s="41"/>
      <c r="C79" s="28"/>
      <c r="D79" s="28"/>
      <c r="E79" s="28"/>
      <c r="F79" s="28"/>
      <c r="G79" s="30">
        <f t="shared" si="38"/>
        <v>0</v>
      </c>
      <c r="H79" s="30">
        <f t="shared" si="38"/>
        <v>0</v>
      </c>
      <c r="I79" s="30">
        <f t="shared" si="38"/>
        <v>0</v>
      </c>
      <c r="J79" s="30">
        <f t="shared" si="38"/>
        <v>0</v>
      </c>
      <c r="K79" s="30">
        <f t="shared" si="39"/>
        <v>0</v>
      </c>
      <c r="L79" s="30">
        <f t="shared" si="40"/>
        <v>0</v>
      </c>
      <c r="M79" s="30">
        <f t="shared" si="40"/>
        <v>0</v>
      </c>
      <c r="N79" s="30">
        <f t="shared" si="40"/>
        <v>0</v>
      </c>
      <c r="O79" s="30">
        <f t="shared" si="40"/>
        <v>0</v>
      </c>
      <c r="P79" s="30">
        <f t="shared" si="40"/>
        <v>0</v>
      </c>
      <c r="Q79" s="30">
        <f t="shared" si="40"/>
        <v>0</v>
      </c>
      <c r="R79" s="30">
        <f t="shared" si="40"/>
        <v>0</v>
      </c>
      <c r="S79" s="33">
        <f t="shared" si="41"/>
        <v>0</v>
      </c>
    </row>
    <row r="80" spans="1:19" s="23" customFormat="1" ht="13" x14ac:dyDescent="0.3">
      <c r="A80" s="28" t="s">
        <v>19</v>
      </c>
      <c r="B80" s="41"/>
      <c r="C80" s="28"/>
      <c r="D80" s="28"/>
      <c r="E80" s="28"/>
      <c r="F80" s="28"/>
      <c r="G80" s="30">
        <f t="shared" si="38"/>
        <v>0</v>
      </c>
      <c r="H80" s="30">
        <f t="shared" si="38"/>
        <v>0</v>
      </c>
      <c r="I80" s="30">
        <f t="shared" si="38"/>
        <v>0</v>
      </c>
      <c r="J80" s="30">
        <f t="shared" si="38"/>
        <v>0</v>
      </c>
      <c r="K80" s="30">
        <f t="shared" si="39"/>
        <v>0</v>
      </c>
      <c r="L80" s="30">
        <f t="shared" si="40"/>
        <v>0</v>
      </c>
      <c r="M80" s="30">
        <f t="shared" si="40"/>
        <v>0</v>
      </c>
      <c r="N80" s="30">
        <f t="shared" si="40"/>
        <v>0</v>
      </c>
      <c r="O80" s="30">
        <f t="shared" si="40"/>
        <v>0</v>
      </c>
      <c r="P80" s="30">
        <f t="shared" si="40"/>
        <v>0</v>
      </c>
      <c r="Q80" s="30">
        <f t="shared" si="40"/>
        <v>0</v>
      </c>
      <c r="R80" s="30">
        <f t="shared" si="40"/>
        <v>0</v>
      </c>
      <c r="S80" s="33">
        <f t="shared" si="41"/>
        <v>0</v>
      </c>
    </row>
    <row r="81" spans="1:19" s="23" customFormat="1" ht="13" x14ac:dyDescent="0.3">
      <c r="A81" s="28" t="s">
        <v>24</v>
      </c>
      <c r="B81" s="41"/>
      <c r="C81" s="28"/>
      <c r="D81" s="28"/>
      <c r="E81" s="28"/>
      <c r="F81" s="28"/>
      <c r="G81" s="30">
        <f t="shared" si="38"/>
        <v>0</v>
      </c>
      <c r="H81" s="30">
        <f t="shared" si="38"/>
        <v>0</v>
      </c>
      <c r="I81" s="30">
        <f t="shared" si="38"/>
        <v>0</v>
      </c>
      <c r="J81" s="30">
        <f t="shared" si="38"/>
        <v>0</v>
      </c>
      <c r="K81" s="30">
        <f t="shared" si="39"/>
        <v>0</v>
      </c>
      <c r="L81" s="30">
        <f t="shared" si="40"/>
        <v>0</v>
      </c>
      <c r="M81" s="30">
        <f t="shared" si="40"/>
        <v>0</v>
      </c>
      <c r="N81" s="30">
        <f t="shared" si="40"/>
        <v>0</v>
      </c>
      <c r="O81" s="30">
        <f t="shared" si="40"/>
        <v>0</v>
      </c>
      <c r="P81" s="30">
        <f t="shared" si="40"/>
        <v>0</v>
      </c>
      <c r="Q81" s="30">
        <f t="shared" si="40"/>
        <v>0</v>
      </c>
      <c r="R81" s="30">
        <f t="shared" si="40"/>
        <v>0</v>
      </c>
      <c r="S81" s="33">
        <f t="shared" si="41"/>
        <v>0</v>
      </c>
    </row>
    <row r="82" spans="1:19" s="23" customFormat="1" ht="13" x14ac:dyDescent="0.3">
      <c r="A82" s="28" t="s">
        <v>13</v>
      </c>
      <c r="B82" s="41">
        <v>0.5</v>
      </c>
      <c r="C82" s="28"/>
      <c r="D82" s="28"/>
      <c r="E82" s="28"/>
      <c r="F82" s="28"/>
      <c r="G82" s="30">
        <f t="shared" si="38"/>
        <v>1287</v>
      </c>
      <c r="H82" s="30">
        <f t="shared" si="38"/>
        <v>1287</v>
      </c>
      <c r="I82" s="30">
        <f t="shared" si="38"/>
        <v>1287</v>
      </c>
      <c r="J82" s="30">
        <f t="shared" si="38"/>
        <v>1287</v>
      </c>
      <c r="K82" s="30">
        <f t="shared" si="39"/>
        <v>914.33333333333326</v>
      </c>
      <c r="L82" s="30">
        <f t="shared" si="40"/>
        <v>541.66666666666663</v>
      </c>
      <c r="M82" s="30">
        <f t="shared" si="40"/>
        <v>541.66666666666663</v>
      </c>
      <c r="N82" s="30">
        <f t="shared" si="40"/>
        <v>541.66666666666663</v>
      </c>
      <c r="O82" s="30">
        <f t="shared" si="40"/>
        <v>541.66666666666663</v>
      </c>
      <c r="P82" s="30">
        <f t="shared" si="40"/>
        <v>541.66666666666663</v>
      </c>
      <c r="Q82" s="30">
        <f t="shared" si="40"/>
        <v>541.66666666666663</v>
      </c>
      <c r="R82" s="30">
        <f t="shared" si="40"/>
        <v>541.66666666666663</v>
      </c>
      <c r="S82" s="33">
        <f t="shared" si="41"/>
        <v>9853.9999999999982</v>
      </c>
    </row>
    <row r="83" spans="1:19" s="23" customFormat="1" ht="13" x14ac:dyDescent="0.3">
      <c r="A83" s="28" t="s">
        <v>37</v>
      </c>
      <c r="B83" s="41">
        <v>-0.5</v>
      </c>
      <c r="C83" s="28"/>
      <c r="D83" s="28"/>
      <c r="E83" s="28"/>
      <c r="F83" s="28"/>
      <c r="G83" s="30">
        <f>SUM($C$74)/12*$B83</f>
        <v>-1083.3333333333333</v>
      </c>
      <c r="H83" s="30">
        <f t="shared" ref="H83:J83" si="42">SUM($C$74)/12*$B83</f>
        <v>-1083.3333333333333</v>
      </c>
      <c r="I83" s="30">
        <f t="shared" si="42"/>
        <v>-1083.3333333333333</v>
      </c>
      <c r="J83" s="30">
        <f t="shared" si="42"/>
        <v>-1083.3333333333333</v>
      </c>
      <c r="K83" s="30">
        <f>SUM($C$74)/12*$B83/2+SUM($E$74/12/2*B83)</f>
        <v>-812.5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3">
        <f t="shared" si="41"/>
        <v>-5145.833333333333</v>
      </c>
    </row>
    <row r="84" spans="1:19" s="40" customFormat="1" ht="13.5" thickBot="1" x14ac:dyDescent="0.35">
      <c r="A84" s="36" t="s">
        <v>6</v>
      </c>
      <c r="B84" s="37"/>
      <c r="C84" s="36"/>
      <c r="D84" s="36"/>
      <c r="E84" s="36"/>
      <c r="F84" s="36"/>
      <c r="G84" s="38">
        <f>SUM(G75:G83)</f>
        <v>1490.6666666666667</v>
      </c>
      <c r="H84" s="38">
        <f t="shared" ref="H84:R84" si="43">SUM(H75:H83)</f>
        <v>1490.6666666666667</v>
      </c>
      <c r="I84" s="38">
        <f t="shared" si="43"/>
        <v>1490.6666666666667</v>
      </c>
      <c r="J84" s="38">
        <f t="shared" si="43"/>
        <v>1490.6666666666667</v>
      </c>
      <c r="K84" s="38">
        <f t="shared" si="43"/>
        <v>1016.1666666666665</v>
      </c>
      <c r="L84" s="38">
        <f t="shared" si="43"/>
        <v>1083.3333333333333</v>
      </c>
      <c r="M84" s="38">
        <f t="shared" si="43"/>
        <v>1083.3333333333333</v>
      </c>
      <c r="N84" s="38">
        <f t="shared" si="43"/>
        <v>1083.3333333333333</v>
      </c>
      <c r="O84" s="38">
        <f t="shared" si="43"/>
        <v>1083.3333333333333</v>
      </c>
      <c r="P84" s="38">
        <f t="shared" si="43"/>
        <v>1083.3333333333333</v>
      </c>
      <c r="Q84" s="38">
        <f t="shared" si="43"/>
        <v>1083.3333333333333</v>
      </c>
      <c r="R84" s="38">
        <f t="shared" si="43"/>
        <v>1083.3333333333333</v>
      </c>
      <c r="S84" s="39">
        <f>SUM(S75:S81)</f>
        <v>9853.9999999999982</v>
      </c>
    </row>
    <row r="85" spans="1:19" ht="15" thickTop="1" x14ac:dyDescent="0.35"/>
    <row r="86" spans="1:19" s="23" customFormat="1" ht="13" x14ac:dyDescent="0.3">
      <c r="A86" s="28"/>
      <c r="B86" s="49"/>
      <c r="C86" s="28"/>
      <c r="D86" s="28"/>
      <c r="E86" s="28"/>
      <c r="F86" s="28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3"/>
    </row>
    <row r="87" spans="1:19" s="23" customFormat="1" ht="13" x14ac:dyDescent="0.3">
      <c r="A87" s="28"/>
      <c r="B87" s="49"/>
      <c r="C87" s="28"/>
      <c r="D87" s="28"/>
      <c r="E87" s="28"/>
      <c r="F87" s="28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3"/>
    </row>
    <row r="88" spans="1:19" s="23" customFormat="1" ht="13" x14ac:dyDescent="0.3">
      <c r="A88" s="28"/>
      <c r="B88" s="49"/>
      <c r="C88" s="28"/>
      <c r="D88" s="28"/>
      <c r="E88" s="28"/>
      <c r="F88" s="28"/>
      <c r="G88" s="30">
        <f>G12+G23+G33+G45+G58+G70+G84</f>
        <v>17296.028666666669</v>
      </c>
      <c r="H88" s="30">
        <f t="shared" ref="H88:R88" si="44">H12+H23+H33+H45+H58+H70+H84</f>
        <v>17296.028666666669</v>
      </c>
      <c r="I88" s="30">
        <f t="shared" si="44"/>
        <v>17296.028666666669</v>
      </c>
      <c r="J88" s="30">
        <f t="shared" si="44"/>
        <v>19672.028666666669</v>
      </c>
      <c r="K88" s="30">
        <f t="shared" si="44"/>
        <v>16408.947666666667</v>
      </c>
      <c r="L88" s="30">
        <f t="shared" si="44"/>
        <v>11811.083333333334</v>
      </c>
      <c r="M88" s="30">
        <f t="shared" si="44"/>
        <v>10326.083333333334</v>
      </c>
      <c r="N88" s="30">
        <f t="shared" si="44"/>
        <v>10326.083333333334</v>
      </c>
      <c r="O88" s="30">
        <f t="shared" si="44"/>
        <v>10326.083333333334</v>
      </c>
      <c r="P88" s="30">
        <f t="shared" si="44"/>
        <v>10326.083333333334</v>
      </c>
      <c r="Q88" s="30">
        <f t="shared" si="44"/>
        <v>10326.083333333334</v>
      </c>
      <c r="R88" s="30">
        <f t="shared" si="44"/>
        <v>10326.083333333334</v>
      </c>
      <c r="S88" s="33"/>
    </row>
    <row r="89" spans="1:19" s="23" customFormat="1" ht="13" x14ac:dyDescent="0.3">
      <c r="A89" s="28"/>
      <c r="B89" s="49"/>
      <c r="C89" s="28"/>
      <c r="D89" s="28"/>
      <c r="E89" s="28"/>
      <c r="F89" s="28"/>
      <c r="G89" s="30">
        <f>SUM(G5+G16+G27+G39+G52+G62+G76)*-1</f>
        <v>-6535.8810000000003</v>
      </c>
      <c r="H89" s="30">
        <f t="shared" ref="H89:R89" si="45">SUM(H5+H16+H27+H39+H52+H62+H76)*-1</f>
        <v>-6535.8810000000003</v>
      </c>
      <c r="I89" s="30">
        <f t="shared" si="45"/>
        <v>-6535.8810000000003</v>
      </c>
      <c r="J89" s="30">
        <f t="shared" si="45"/>
        <v>-6595.2809999999999</v>
      </c>
      <c r="K89" s="30">
        <f t="shared" si="45"/>
        <v>-5817.2363333333333</v>
      </c>
      <c r="L89" s="30">
        <f t="shared" si="45"/>
        <v>-4383.9666666666672</v>
      </c>
      <c r="M89" s="30">
        <f t="shared" si="45"/>
        <v>-3641.4666666666667</v>
      </c>
      <c r="N89" s="30">
        <f t="shared" si="45"/>
        <v>-3641.4666666666667</v>
      </c>
      <c r="O89" s="30">
        <f t="shared" si="45"/>
        <v>-3641.4666666666667</v>
      </c>
      <c r="P89" s="30">
        <f t="shared" si="45"/>
        <v>-3641.4666666666667</v>
      </c>
      <c r="Q89" s="30">
        <f t="shared" si="45"/>
        <v>-3641.4666666666667</v>
      </c>
      <c r="R89" s="30">
        <f t="shared" si="45"/>
        <v>-3641.4666666666667</v>
      </c>
      <c r="S89" s="33"/>
    </row>
    <row r="90" spans="1:19" s="23" customFormat="1" ht="13.5" thickBot="1" x14ac:dyDescent="0.35">
      <c r="A90" s="28"/>
      <c r="B90" s="49"/>
      <c r="C90" s="28"/>
      <c r="D90" s="28"/>
      <c r="E90" s="28"/>
      <c r="F90" s="28"/>
      <c r="G90" s="55">
        <f>SUM(G88:G89)</f>
        <v>10760.147666666668</v>
      </c>
      <c r="H90" s="55">
        <f t="shared" ref="H90:R90" si="46">SUM(H88:H89)</f>
        <v>10760.147666666668</v>
      </c>
      <c r="I90" s="55">
        <f t="shared" si="46"/>
        <v>10760.147666666668</v>
      </c>
      <c r="J90" s="55">
        <f t="shared" si="46"/>
        <v>13076.74766666667</v>
      </c>
      <c r="K90" s="55">
        <f t="shared" si="46"/>
        <v>10591.711333333333</v>
      </c>
      <c r="L90" s="55">
        <f t="shared" si="46"/>
        <v>7427.1166666666668</v>
      </c>
      <c r="M90" s="55">
        <f t="shared" si="46"/>
        <v>6684.6166666666668</v>
      </c>
      <c r="N90" s="55">
        <f t="shared" si="46"/>
        <v>6684.6166666666668</v>
      </c>
      <c r="O90" s="55">
        <f t="shared" si="46"/>
        <v>6684.6166666666668</v>
      </c>
      <c r="P90" s="55">
        <f t="shared" si="46"/>
        <v>6684.6166666666668</v>
      </c>
      <c r="Q90" s="55">
        <f t="shared" si="46"/>
        <v>6684.6166666666668</v>
      </c>
      <c r="R90" s="56">
        <f t="shared" si="46"/>
        <v>6684.6166666666668</v>
      </c>
      <c r="S90" s="33"/>
    </row>
    <row r="91" spans="1:19" s="23" customFormat="1" ht="13.5" thickTop="1" x14ac:dyDescent="0.3">
      <c r="A91" s="28"/>
      <c r="B91" s="49"/>
      <c r="C91" s="28"/>
      <c r="D91" s="28"/>
      <c r="E91" s="28"/>
      <c r="F91" s="28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3"/>
    </row>
    <row r="92" spans="1:19" s="23" customFormat="1" ht="13" x14ac:dyDescent="0.3">
      <c r="A92" s="28"/>
      <c r="B92" s="49"/>
      <c r="C92" s="28"/>
      <c r="D92" s="28"/>
      <c r="E92" s="28"/>
      <c r="F92" s="28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3"/>
    </row>
    <row r="93" spans="1:19" s="23" customFormat="1" ht="13" x14ac:dyDescent="0.3">
      <c r="A93" s="28"/>
      <c r="B93" s="49"/>
      <c r="C93" s="28"/>
      <c r="D93" s="28"/>
      <c r="E93" s="28"/>
      <c r="F93" s="28"/>
      <c r="G93" s="30"/>
      <c r="H93" s="30"/>
      <c r="I93" s="30"/>
      <c r="J93" s="30">
        <f>SUM(I90:R90)</f>
        <v>81963.423333333354</v>
      </c>
      <c r="K93" s="30"/>
      <c r="L93" s="30"/>
      <c r="M93" s="30"/>
      <c r="N93" s="30"/>
      <c r="O93" s="30"/>
      <c r="P93" s="30"/>
      <c r="Q93" s="30"/>
      <c r="R93" s="30"/>
      <c r="S93" s="33"/>
    </row>
    <row r="94" spans="1:19" s="23" customFormat="1" ht="13" x14ac:dyDescent="0.3">
      <c r="A94" s="28"/>
      <c r="B94" s="49"/>
      <c r="C94" s="28"/>
      <c r="D94" s="28"/>
      <c r="E94" s="28"/>
      <c r="F94" s="28"/>
      <c r="G94" s="30"/>
      <c r="H94" s="30"/>
      <c r="I94" s="54" t="s">
        <v>41</v>
      </c>
      <c r="J94" s="64">
        <f>J93+13500</f>
        <v>95463.423333333354</v>
      </c>
      <c r="K94" s="30"/>
      <c r="L94" s="30"/>
      <c r="M94" s="30"/>
      <c r="N94" s="30"/>
      <c r="O94" s="30"/>
      <c r="P94" s="30"/>
      <c r="Q94" s="30"/>
      <c r="R94" s="30"/>
      <c r="S94" s="33"/>
    </row>
    <row r="95" spans="1:19" s="23" customFormat="1" ht="13" x14ac:dyDescent="0.3">
      <c r="A95" s="28"/>
      <c r="B95" s="49"/>
      <c r="C95" s="28"/>
      <c r="D95" s="28"/>
      <c r="E95" s="28"/>
      <c r="F95" s="28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3"/>
    </row>
    <row r="96" spans="1:19" s="23" customFormat="1" ht="13" x14ac:dyDescent="0.3">
      <c r="A96" s="28"/>
      <c r="B96" s="49"/>
      <c r="C96" s="28"/>
      <c r="D96" s="28"/>
      <c r="E96" s="28"/>
      <c r="F96" s="28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3"/>
    </row>
    <row r="98" spans="1:19" x14ac:dyDescent="0.35">
      <c r="A98" s="27"/>
    </row>
    <row r="99" spans="1:19" x14ac:dyDescent="0.35">
      <c r="A99" s="28"/>
      <c r="B99" s="49"/>
      <c r="C99" s="30"/>
      <c r="D99" s="52"/>
      <c r="F99" s="50"/>
      <c r="H99" s="50"/>
      <c r="L99" s="30"/>
    </row>
    <row r="100" spans="1:19" s="23" customFormat="1" ht="13" x14ac:dyDescent="0.3">
      <c r="A100" s="28"/>
      <c r="B100" s="49"/>
      <c r="C100" s="30"/>
      <c r="D100" s="52"/>
      <c r="E100" s="28"/>
      <c r="F100" s="28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3"/>
    </row>
    <row r="101" spans="1:19" s="23" customFormat="1" ht="13" x14ac:dyDescent="0.3">
      <c r="A101" s="28"/>
      <c r="B101" s="49"/>
      <c r="C101" s="30"/>
      <c r="D101" s="52"/>
      <c r="E101" s="28"/>
      <c r="F101" s="28"/>
      <c r="G101" s="53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3"/>
    </row>
    <row r="102" spans="1:19" s="23" customFormat="1" ht="13" x14ac:dyDescent="0.3">
      <c r="A102" s="28"/>
      <c r="B102" s="49"/>
      <c r="C102" s="30"/>
      <c r="D102" s="52"/>
      <c r="E102" s="28"/>
      <c r="F102" s="28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3"/>
    </row>
    <row r="103" spans="1:19" s="23" customFormat="1" ht="13" x14ac:dyDescent="0.3">
      <c r="A103" s="28"/>
      <c r="B103" s="49"/>
      <c r="C103" s="30"/>
      <c r="D103" s="52"/>
      <c r="E103" s="28"/>
      <c r="F103" s="28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3"/>
    </row>
    <row r="104" spans="1:19" s="23" customFormat="1" ht="13" x14ac:dyDescent="0.3">
      <c r="A104" s="28"/>
      <c r="B104" s="49"/>
      <c r="C104" s="30"/>
      <c r="D104" s="52"/>
      <c r="E104" s="28"/>
      <c r="F104" s="28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3"/>
    </row>
  </sheetData>
  <mergeCells count="2">
    <mergeCell ref="C1:D1"/>
    <mergeCell ref="E1:F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9872-20F8-4770-95E2-B8AC4CAC7724}">
  <dimension ref="A1:O11"/>
  <sheetViews>
    <sheetView workbookViewId="0">
      <selection activeCell="E18" sqref="E18"/>
    </sheetView>
  </sheetViews>
  <sheetFormatPr defaultRowHeight="14.5" x14ac:dyDescent="0.35"/>
  <cols>
    <col min="1" max="1" width="18.36328125" bestFit="1" customWidth="1"/>
    <col min="3" max="15" width="11.7265625" customWidth="1"/>
  </cols>
  <sheetData>
    <row r="1" spans="1:15" x14ac:dyDescent="0.35">
      <c r="A1" s="2"/>
      <c r="B1" s="24"/>
      <c r="C1" s="2" t="s">
        <v>0</v>
      </c>
      <c r="D1" s="2" t="s">
        <v>0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3"/>
    </row>
    <row r="2" spans="1:15" x14ac:dyDescent="0.35">
      <c r="A2" s="4" t="s">
        <v>15</v>
      </c>
      <c r="B2" s="24" t="s">
        <v>20</v>
      </c>
      <c r="C2" s="4">
        <v>45931</v>
      </c>
      <c r="D2" s="4">
        <v>45962</v>
      </c>
      <c r="E2" s="4">
        <v>45992</v>
      </c>
      <c r="F2" s="4">
        <v>46023</v>
      </c>
      <c r="G2" s="4">
        <v>46054</v>
      </c>
      <c r="H2" s="4">
        <v>46082</v>
      </c>
      <c r="I2" s="4">
        <v>46113</v>
      </c>
      <c r="J2" s="4">
        <v>46143</v>
      </c>
      <c r="K2" s="4">
        <v>46174</v>
      </c>
      <c r="L2" s="4">
        <v>46204</v>
      </c>
      <c r="M2" s="4">
        <v>46235</v>
      </c>
      <c r="N2" s="4">
        <v>46266</v>
      </c>
      <c r="O2" s="5" t="s">
        <v>2</v>
      </c>
    </row>
    <row r="3" spans="1:15" x14ac:dyDescent="0.35">
      <c r="A3" s="29"/>
      <c r="B3" s="57">
        <f>50000/12</f>
        <v>4166.666666666667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2"/>
    </row>
    <row r="4" spans="1:15" x14ac:dyDescent="0.35">
      <c r="A4" s="29"/>
      <c r="B4" s="5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32"/>
    </row>
    <row r="5" spans="1:15" x14ac:dyDescent="0.35">
      <c r="A5" s="28" t="s">
        <v>11</v>
      </c>
      <c r="B5" s="41">
        <f t="shared" ref="B5:B6" si="0">0.5/3</f>
        <v>0.16666666666666666</v>
      </c>
      <c r="C5" s="30"/>
      <c r="D5" s="30"/>
      <c r="E5" s="30"/>
      <c r="F5" s="30"/>
      <c r="G5" s="30"/>
      <c r="H5" s="30"/>
      <c r="I5" s="30">
        <f t="shared" ref="I5:N8" si="1">$B$3*$B5</f>
        <v>694.44444444444446</v>
      </c>
      <c r="J5" s="30">
        <f t="shared" si="1"/>
        <v>694.44444444444446</v>
      </c>
      <c r="K5" s="30">
        <f t="shared" si="1"/>
        <v>694.44444444444446</v>
      </c>
      <c r="L5" s="30">
        <f t="shared" si="1"/>
        <v>694.44444444444446</v>
      </c>
      <c r="M5" s="30">
        <f t="shared" si="1"/>
        <v>694.44444444444446</v>
      </c>
      <c r="N5" s="30">
        <f t="shared" si="1"/>
        <v>694.44444444444446</v>
      </c>
      <c r="O5" s="33">
        <f>SUM(C5:N5)</f>
        <v>4166.666666666667</v>
      </c>
    </row>
    <row r="6" spans="1:15" x14ac:dyDescent="0.35">
      <c r="A6" s="28" t="s">
        <v>17</v>
      </c>
      <c r="B6" s="41">
        <f t="shared" si="0"/>
        <v>0.16666666666666666</v>
      </c>
      <c r="C6" s="30"/>
      <c r="D6" s="30"/>
      <c r="E6" s="30"/>
      <c r="F6" s="30"/>
      <c r="G6" s="30"/>
      <c r="H6" s="30"/>
      <c r="I6" s="30">
        <f t="shared" si="1"/>
        <v>694.44444444444446</v>
      </c>
      <c r="J6" s="30">
        <f t="shared" si="1"/>
        <v>694.44444444444446</v>
      </c>
      <c r="K6" s="30">
        <f t="shared" si="1"/>
        <v>694.44444444444446</v>
      </c>
      <c r="L6" s="30">
        <f t="shared" si="1"/>
        <v>694.44444444444446</v>
      </c>
      <c r="M6" s="30">
        <f t="shared" si="1"/>
        <v>694.44444444444446</v>
      </c>
      <c r="N6" s="30">
        <f t="shared" si="1"/>
        <v>694.44444444444446</v>
      </c>
      <c r="O6" s="33">
        <f t="shared" ref="O6:O8" si="2">SUM(C6:N6)</f>
        <v>4166.666666666667</v>
      </c>
    </row>
    <row r="7" spans="1:15" x14ac:dyDescent="0.35">
      <c r="A7" s="28" t="s">
        <v>18</v>
      </c>
      <c r="B7" s="41">
        <f>0.5/3</f>
        <v>0.16666666666666666</v>
      </c>
      <c r="C7" s="30"/>
      <c r="D7" s="30"/>
      <c r="E7" s="30"/>
      <c r="F7" s="30"/>
      <c r="G7" s="30"/>
      <c r="H7" s="30"/>
      <c r="I7" s="30">
        <f t="shared" si="1"/>
        <v>694.44444444444446</v>
      </c>
      <c r="J7" s="30">
        <f t="shared" si="1"/>
        <v>694.44444444444446</v>
      </c>
      <c r="K7" s="30">
        <f t="shared" si="1"/>
        <v>694.44444444444446</v>
      </c>
      <c r="L7" s="30">
        <f t="shared" si="1"/>
        <v>694.44444444444446</v>
      </c>
      <c r="M7" s="30">
        <f t="shared" si="1"/>
        <v>694.44444444444446</v>
      </c>
      <c r="N7" s="30">
        <f t="shared" si="1"/>
        <v>694.44444444444446</v>
      </c>
      <c r="O7" s="33">
        <f t="shared" si="2"/>
        <v>4166.666666666667</v>
      </c>
    </row>
    <row r="8" spans="1:15" x14ac:dyDescent="0.35">
      <c r="A8" s="28" t="s">
        <v>14</v>
      </c>
      <c r="B8" s="41">
        <v>0.5</v>
      </c>
      <c r="C8" s="30"/>
      <c r="D8" s="30"/>
      <c r="E8" s="30"/>
      <c r="F8" s="30"/>
      <c r="G8" s="30"/>
      <c r="H8" s="30"/>
      <c r="I8" s="30">
        <f t="shared" si="1"/>
        <v>2083.3333333333335</v>
      </c>
      <c r="J8" s="30">
        <f t="shared" si="1"/>
        <v>2083.3333333333335</v>
      </c>
      <c r="K8" s="30">
        <f t="shared" si="1"/>
        <v>2083.3333333333335</v>
      </c>
      <c r="L8" s="30">
        <f t="shared" si="1"/>
        <v>2083.3333333333335</v>
      </c>
      <c r="M8" s="30">
        <f t="shared" si="1"/>
        <v>2083.3333333333335</v>
      </c>
      <c r="N8" s="30">
        <f t="shared" si="1"/>
        <v>2083.3333333333335</v>
      </c>
      <c r="O8" s="33">
        <f t="shared" si="2"/>
        <v>12500.000000000002</v>
      </c>
    </row>
    <row r="9" spans="1:15" x14ac:dyDescent="0.35">
      <c r="A9" s="28"/>
      <c r="B9" s="31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32"/>
    </row>
    <row r="10" spans="1:15" ht="15" thickBot="1" x14ac:dyDescent="0.4">
      <c r="A10" s="36" t="s">
        <v>6</v>
      </c>
      <c r="B10" s="37"/>
      <c r="C10" s="38">
        <f t="shared" ref="C10:O10" si="3">SUM(C5:C9)</f>
        <v>0</v>
      </c>
      <c r="D10" s="38">
        <f t="shared" si="3"/>
        <v>0</v>
      </c>
      <c r="E10" s="38">
        <f t="shared" si="3"/>
        <v>0</v>
      </c>
      <c r="F10" s="38">
        <f t="shared" si="3"/>
        <v>0</v>
      </c>
      <c r="G10" s="38">
        <f t="shared" si="3"/>
        <v>0</v>
      </c>
      <c r="H10" s="38">
        <f t="shared" si="3"/>
        <v>0</v>
      </c>
      <c r="I10" s="38">
        <f t="shared" si="3"/>
        <v>4166.666666666667</v>
      </c>
      <c r="J10" s="38">
        <f t="shared" si="3"/>
        <v>4166.666666666667</v>
      </c>
      <c r="K10" s="38">
        <f t="shared" si="3"/>
        <v>4166.666666666667</v>
      </c>
      <c r="L10" s="38">
        <f t="shared" si="3"/>
        <v>4166.666666666667</v>
      </c>
      <c r="M10" s="38">
        <f t="shared" si="3"/>
        <v>4166.666666666667</v>
      </c>
      <c r="N10" s="38">
        <f t="shared" si="3"/>
        <v>4166.666666666667</v>
      </c>
      <c r="O10" s="39">
        <f t="shared" si="3"/>
        <v>25000</v>
      </c>
    </row>
    <row r="11" spans="1:15" ht="15" thickTop="1" x14ac:dyDescent="0.35">
      <c r="A11" s="28"/>
      <c r="B11" s="31"/>
      <c r="C11" s="28"/>
      <c r="D11" s="28"/>
      <c r="E11" s="28"/>
      <c r="F11" s="42"/>
      <c r="G11" s="28"/>
      <c r="H11" s="28"/>
      <c r="I11" s="28"/>
      <c r="J11" s="28"/>
      <c r="K11" s="28"/>
      <c r="L11" s="28"/>
      <c r="M11" s="28"/>
      <c r="N11" s="28"/>
      <c r="O11" s="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B574-0E36-433A-BF65-39A3C462F6F0}">
  <dimension ref="A1:R39"/>
  <sheetViews>
    <sheetView topLeftCell="A18" workbookViewId="0">
      <selection activeCell="E42" sqref="E42"/>
    </sheetView>
  </sheetViews>
  <sheetFormatPr defaultRowHeight="14.5" x14ac:dyDescent="0.35"/>
  <cols>
    <col min="1" max="1" width="20.1796875" customWidth="1"/>
    <col min="2" max="2" width="18.26953125" style="25" customWidth="1"/>
    <col min="3" max="4" width="9" hidden="1" customWidth="1"/>
    <col min="5" max="14" width="9" bestFit="1" customWidth="1"/>
    <col min="15" max="15" width="9" style="35" bestFit="1" customWidth="1"/>
  </cols>
  <sheetData>
    <row r="1" spans="1:15" x14ac:dyDescent="0.35">
      <c r="A1" s="2"/>
      <c r="B1" s="24"/>
      <c r="C1" s="2" t="s">
        <v>0</v>
      </c>
      <c r="D1" s="2" t="s">
        <v>0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3"/>
    </row>
    <row r="2" spans="1:15" x14ac:dyDescent="0.35">
      <c r="A2" s="4" t="s">
        <v>15</v>
      </c>
      <c r="B2" s="24" t="s">
        <v>20</v>
      </c>
      <c r="C2" s="4">
        <v>45931</v>
      </c>
      <c r="D2" s="4">
        <v>45962</v>
      </c>
      <c r="E2" s="4">
        <v>45992</v>
      </c>
      <c r="F2" s="4">
        <v>46023</v>
      </c>
      <c r="G2" s="4">
        <v>46054</v>
      </c>
      <c r="H2" s="4">
        <v>46082</v>
      </c>
      <c r="I2" s="4">
        <v>46113</v>
      </c>
      <c r="J2" s="4">
        <v>46143</v>
      </c>
      <c r="K2" s="4">
        <v>46174</v>
      </c>
      <c r="L2" s="4">
        <v>46204</v>
      </c>
      <c r="M2" s="4">
        <v>46235</v>
      </c>
      <c r="N2" s="4">
        <v>46266</v>
      </c>
      <c r="O2" s="5" t="s">
        <v>2</v>
      </c>
    </row>
    <row r="3" spans="1:15" s="23" customFormat="1" x14ac:dyDescent="0.35">
      <c r="A3" s="51" t="s">
        <v>45</v>
      </c>
      <c r="B3" s="57">
        <v>1500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2"/>
    </row>
    <row r="4" spans="1:15" s="23" customFormat="1" ht="13" x14ac:dyDescent="0.3">
      <c r="A4" s="28" t="s">
        <v>14</v>
      </c>
      <c r="B4" s="49">
        <v>0.2</v>
      </c>
      <c r="C4" s="30">
        <f>$B$3*$B$5</f>
        <v>300</v>
      </c>
      <c r="D4" s="30">
        <f t="shared" ref="D4:N5" si="0">$B$3*$B$5</f>
        <v>300</v>
      </c>
      <c r="E4" s="30">
        <f t="shared" si="0"/>
        <v>300</v>
      </c>
      <c r="F4" s="30">
        <f t="shared" si="0"/>
        <v>300</v>
      </c>
      <c r="G4" s="30">
        <f t="shared" si="0"/>
        <v>300</v>
      </c>
      <c r="H4" s="30">
        <f t="shared" si="0"/>
        <v>300</v>
      </c>
      <c r="I4" s="30">
        <f t="shared" si="0"/>
        <v>300</v>
      </c>
      <c r="J4" s="30">
        <f t="shared" si="0"/>
        <v>300</v>
      </c>
      <c r="K4" s="30">
        <f t="shared" si="0"/>
        <v>300</v>
      </c>
      <c r="L4" s="30">
        <f t="shared" si="0"/>
        <v>300</v>
      </c>
      <c r="M4" s="30">
        <f t="shared" si="0"/>
        <v>300</v>
      </c>
      <c r="N4" s="30">
        <f t="shared" si="0"/>
        <v>300</v>
      </c>
      <c r="O4" s="33">
        <f>SUM(C4:N4)</f>
        <v>3600</v>
      </c>
    </row>
    <row r="5" spans="1:15" s="23" customFormat="1" ht="13" x14ac:dyDescent="0.3">
      <c r="A5" s="28" t="s">
        <v>11</v>
      </c>
      <c r="B5" s="49">
        <v>0.2</v>
      </c>
      <c r="C5" s="30">
        <f>$B$3*$B$5</f>
        <v>300</v>
      </c>
      <c r="D5" s="30">
        <f t="shared" si="0"/>
        <v>300</v>
      </c>
      <c r="E5" s="30">
        <f t="shared" si="0"/>
        <v>300</v>
      </c>
      <c r="F5" s="30">
        <f t="shared" si="0"/>
        <v>300</v>
      </c>
      <c r="G5" s="30">
        <f t="shared" si="0"/>
        <v>300</v>
      </c>
      <c r="H5" s="30">
        <f t="shared" si="0"/>
        <v>300</v>
      </c>
      <c r="I5" s="30">
        <f t="shared" si="0"/>
        <v>300</v>
      </c>
      <c r="J5" s="30">
        <f t="shared" si="0"/>
        <v>300</v>
      </c>
      <c r="K5" s="30">
        <f t="shared" si="0"/>
        <v>300</v>
      </c>
      <c r="L5" s="30">
        <f t="shared" si="0"/>
        <v>300</v>
      </c>
      <c r="M5" s="30">
        <f t="shared" si="0"/>
        <v>300</v>
      </c>
      <c r="N5" s="30">
        <f t="shared" si="0"/>
        <v>300</v>
      </c>
      <c r="O5" s="33">
        <f>SUM(C5:N5)</f>
        <v>3600</v>
      </c>
    </row>
    <row r="6" spans="1:15" s="23" customFormat="1" ht="13" x14ac:dyDescent="0.3">
      <c r="A6" s="28" t="s">
        <v>17</v>
      </c>
      <c r="B6" s="49">
        <v>0.2</v>
      </c>
      <c r="C6" s="30">
        <f>$B$3*$B$5</f>
        <v>300</v>
      </c>
      <c r="D6" s="30">
        <f t="shared" ref="D6:N8" si="1">$B$3*$B$5</f>
        <v>300</v>
      </c>
      <c r="E6" s="30">
        <f t="shared" si="1"/>
        <v>300</v>
      </c>
      <c r="F6" s="30">
        <f t="shared" si="1"/>
        <v>300</v>
      </c>
      <c r="G6" s="30">
        <f t="shared" si="1"/>
        <v>300</v>
      </c>
      <c r="H6" s="30">
        <f t="shared" si="1"/>
        <v>300</v>
      </c>
      <c r="I6" s="30">
        <f t="shared" si="1"/>
        <v>300</v>
      </c>
      <c r="J6" s="30">
        <f t="shared" si="1"/>
        <v>300</v>
      </c>
      <c r="K6" s="30">
        <f t="shared" si="1"/>
        <v>300</v>
      </c>
      <c r="L6" s="30">
        <f t="shared" si="1"/>
        <v>300</v>
      </c>
      <c r="M6" s="30">
        <f t="shared" si="1"/>
        <v>300</v>
      </c>
      <c r="N6" s="30">
        <f t="shared" si="1"/>
        <v>300</v>
      </c>
      <c r="O6" s="33">
        <f t="shared" ref="O6:O8" si="2">SUM(C6:N6)</f>
        <v>3600</v>
      </c>
    </row>
    <row r="7" spans="1:15" s="23" customFormat="1" ht="13" x14ac:dyDescent="0.3">
      <c r="A7" s="28" t="s">
        <v>18</v>
      </c>
      <c r="B7" s="49">
        <v>0.2</v>
      </c>
      <c r="C7" s="30">
        <f>$B$3*$B$5</f>
        <v>300</v>
      </c>
      <c r="D7" s="30">
        <f t="shared" si="1"/>
        <v>300</v>
      </c>
      <c r="E7" s="30">
        <f t="shared" si="1"/>
        <v>300</v>
      </c>
      <c r="F7" s="30">
        <f t="shared" si="1"/>
        <v>300</v>
      </c>
      <c r="G7" s="30">
        <f t="shared" si="1"/>
        <v>300</v>
      </c>
      <c r="H7" s="30">
        <f t="shared" si="1"/>
        <v>300</v>
      </c>
      <c r="I7" s="30">
        <f t="shared" si="1"/>
        <v>300</v>
      </c>
      <c r="J7" s="30">
        <f t="shared" si="1"/>
        <v>300</v>
      </c>
      <c r="K7" s="30">
        <f t="shared" si="1"/>
        <v>300</v>
      </c>
      <c r="L7" s="30">
        <f t="shared" si="1"/>
        <v>300</v>
      </c>
      <c r="M7" s="30">
        <f t="shared" si="1"/>
        <v>300</v>
      </c>
      <c r="N7" s="30">
        <f t="shared" si="1"/>
        <v>300</v>
      </c>
      <c r="O7" s="33">
        <f t="shared" si="2"/>
        <v>3600</v>
      </c>
    </row>
    <row r="8" spans="1:15" s="23" customFormat="1" ht="13" x14ac:dyDescent="0.3">
      <c r="A8" s="28" t="s">
        <v>19</v>
      </c>
      <c r="B8" s="49">
        <v>0.2</v>
      </c>
      <c r="C8" s="30">
        <f>$B$3*$B$5</f>
        <v>300</v>
      </c>
      <c r="D8" s="30">
        <f t="shared" si="1"/>
        <v>300</v>
      </c>
      <c r="E8" s="30">
        <f t="shared" si="1"/>
        <v>300</v>
      </c>
      <c r="F8" s="30">
        <f t="shared" si="1"/>
        <v>300</v>
      </c>
      <c r="G8" s="30">
        <f t="shared" si="1"/>
        <v>300</v>
      </c>
      <c r="H8" s="30">
        <f t="shared" si="1"/>
        <v>300</v>
      </c>
      <c r="I8" s="30">
        <f t="shared" si="1"/>
        <v>300</v>
      </c>
      <c r="J8" s="30">
        <f t="shared" si="1"/>
        <v>300</v>
      </c>
      <c r="K8" s="30">
        <f t="shared" si="1"/>
        <v>300</v>
      </c>
      <c r="L8" s="30">
        <f t="shared" si="1"/>
        <v>300</v>
      </c>
      <c r="M8" s="30">
        <f t="shared" si="1"/>
        <v>300</v>
      </c>
      <c r="N8" s="30">
        <f t="shared" si="1"/>
        <v>300</v>
      </c>
      <c r="O8" s="33">
        <f t="shared" si="2"/>
        <v>3600</v>
      </c>
    </row>
    <row r="9" spans="1:15" ht="15" thickBot="1" x14ac:dyDescent="0.4">
      <c r="A9" s="58"/>
      <c r="B9" s="59"/>
      <c r="C9" s="60">
        <f>SUM(C5:C8)</f>
        <v>1200</v>
      </c>
      <c r="D9" s="60">
        <f t="shared" ref="D9" si="3">SUM(D5:D8)</f>
        <v>1200</v>
      </c>
      <c r="E9" s="60">
        <f>SUM(E4:E8)</f>
        <v>1500</v>
      </c>
      <c r="F9" s="60">
        <f t="shared" ref="F9:O9" si="4">SUM(F4:F8)</f>
        <v>1500</v>
      </c>
      <c r="G9" s="60">
        <f t="shared" si="4"/>
        <v>1500</v>
      </c>
      <c r="H9" s="60">
        <f t="shared" si="4"/>
        <v>1500</v>
      </c>
      <c r="I9" s="60">
        <f t="shared" si="4"/>
        <v>1500</v>
      </c>
      <c r="J9" s="60">
        <f t="shared" si="4"/>
        <v>1500</v>
      </c>
      <c r="K9" s="60">
        <f t="shared" si="4"/>
        <v>1500</v>
      </c>
      <c r="L9" s="60">
        <f t="shared" si="4"/>
        <v>1500</v>
      </c>
      <c r="M9" s="60">
        <f t="shared" si="4"/>
        <v>1500</v>
      </c>
      <c r="N9" s="60">
        <f t="shared" si="4"/>
        <v>1500</v>
      </c>
      <c r="O9" s="60">
        <f t="shared" si="4"/>
        <v>18000</v>
      </c>
    </row>
    <row r="10" spans="1:15" ht="15" thickTop="1" x14ac:dyDescent="0.35"/>
    <row r="11" spans="1:15" x14ac:dyDescent="0.35">
      <c r="A11" s="51" t="s">
        <v>42</v>
      </c>
      <c r="B11" s="57">
        <v>1240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32"/>
    </row>
    <row r="12" spans="1:15" x14ac:dyDescent="0.35">
      <c r="A12" s="28" t="s">
        <v>12</v>
      </c>
      <c r="B12" s="49">
        <v>0.5</v>
      </c>
      <c r="C12" s="30">
        <f>$B$11*$B12</f>
        <v>620</v>
      </c>
      <c r="D12" s="30">
        <f t="shared" ref="D12:N12" si="5">$B$11*$B12</f>
        <v>620</v>
      </c>
      <c r="E12" s="30">
        <f t="shared" si="5"/>
        <v>620</v>
      </c>
      <c r="F12" s="30">
        <f t="shared" si="5"/>
        <v>620</v>
      </c>
      <c r="G12" s="30">
        <f t="shared" si="5"/>
        <v>620</v>
      </c>
      <c r="H12" s="30">
        <f t="shared" si="5"/>
        <v>620</v>
      </c>
      <c r="I12" s="30">
        <f t="shared" si="5"/>
        <v>620</v>
      </c>
      <c r="J12" s="30">
        <f t="shared" si="5"/>
        <v>620</v>
      </c>
      <c r="K12" s="30">
        <f t="shared" si="5"/>
        <v>620</v>
      </c>
      <c r="L12" s="30">
        <f t="shared" si="5"/>
        <v>620</v>
      </c>
      <c r="M12" s="30">
        <f t="shared" si="5"/>
        <v>620</v>
      </c>
      <c r="N12" s="30">
        <f t="shared" si="5"/>
        <v>620</v>
      </c>
      <c r="O12" s="33">
        <f>SUM(C12:N12)</f>
        <v>7440</v>
      </c>
    </row>
    <row r="13" spans="1:15" x14ac:dyDescent="0.35">
      <c r="A13" s="28" t="s">
        <v>14</v>
      </c>
      <c r="B13" s="49">
        <v>0.1</v>
      </c>
      <c r="C13" s="30">
        <f t="shared" ref="C13:N17" si="6">$B$11*$B13</f>
        <v>124</v>
      </c>
      <c r="D13" s="30">
        <f t="shared" si="6"/>
        <v>124</v>
      </c>
      <c r="E13" s="30">
        <f t="shared" si="6"/>
        <v>124</v>
      </c>
      <c r="F13" s="30">
        <f t="shared" si="6"/>
        <v>124</v>
      </c>
      <c r="G13" s="30">
        <f t="shared" si="6"/>
        <v>124</v>
      </c>
      <c r="H13" s="30">
        <f t="shared" si="6"/>
        <v>124</v>
      </c>
      <c r="I13" s="30">
        <f t="shared" si="6"/>
        <v>124</v>
      </c>
      <c r="J13" s="30">
        <f t="shared" si="6"/>
        <v>124</v>
      </c>
      <c r="K13" s="30">
        <f t="shared" si="6"/>
        <v>124</v>
      </c>
      <c r="L13" s="30">
        <f t="shared" si="6"/>
        <v>124</v>
      </c>
      <c r="M13" s="30">
        <f t="shared" si="6"/>
        <v>124</v>
      </c>
      <c r="N13" s="30">
        <f t="shared" si="6"/>
        <v>124</v>
      </c>
      <c r="O13" s="33">
        <f t="shared" ref="O13:O16" si="7">SUM(C13:N13)</f>
        <v>1488</v>
      </c>
    </row>
    <row r="14" spans="1:15" x14ac:dyDescent="0.35">
      <c r="A14" s="28" t="s">
        <v>11</v>
      </c>
      <c r="B14" s="49">
        <v>0.1</v>
      </c>
      <c r="C14" s="30">
        <f t="shared" si="6"/>
        <v>124</v>
      </c>
      <c r="D14" s="30">
        <f t="shared" si="6"/>
        <v>124</v>
      </c>
      <c r="E14" s="30">
        <f t="shared" si="6"/>
        <v>124</v>
      </c>
      <c r="F14" s="30">
        <f t="shared" si="6"/>
        <v>124</v>
      </c>
      <c r="G14" s="30">
        <f t="shared" si="6"/>
        <v>124</v>
      </c>
      <c r="H14" s="30">
        <f t="shared" si="6"/>
        <v>124</v>
      </c>
      <c r="I14" s="30">
        <f t="shared" si="6"/>
        <v>124</v>
      </c>
      <c r="J14" s="30">
        <f t="shared" si="6"/>
        <v>124</v>
      </c>
      <c r="K14" s="30">
        <f t="shared" si="6"/>
        <v>124</v>
      </c>
      <c r="L14" s="30">
        <f t="shared" si="6"/>
        <v>124</v>
      </c>
      <c r="M14" s="30">
        <f t="shared" si="6"/>
        <v>124</v>
      </c>
      <c r="N14" s="30">
        <f t="shared" si="6"/>
        <v>124</v>
      </c>
      <c r="O14" s="33">
        <f t="shared" si="7"/>
        <v>1488</v>
      </c>
    </row>
    <row r="15" spans="1:15" x14ac:dyDescent="0.35">
      <c r="A15" s="28" t="s">
        <v>17</v>
      </c>
      <c r="B15" s="49">
        <v>0.1</v>
      </c>
      <c r="C15" s="30">
        <f t="shared" si="6"/>
        <v>124</v>
      </c>
      <c r="D15" s="30">
        <f t="shared" si="6"/>
        <v>124</v>
      </c>
      <c r="E15" s="30">
        <f t="shared" si="6"/>
        <v>124</v>
      </c>
      <c r="F15" s="30">
        <f t="shared" si="6"/>
        <v>124</v>
      </c>
      <c r="G15" s="30">
        <f t="shared" si="6"/>
        <v>124</v>
      </c>
      <c r="H15" s="30">
        <f t="shared" si="6"/>
        <v>124</v>
      </c>
      <c r="I15" s="30">
        <f t="shared" si="6"/>
        <v>124</v>
      </c>
      <c r="J15" s="30">
        <f t="shared" si="6"/>
        <v>124</v>
      </c>
      <c r="K15" s="30">
        <f t="shared" si="6"/>
        <v>124</v>
      </c>
      <c r="L15" s="30">
        <f t="shared" si="6"/>
        <v>124</v>
      </c>
      <c r="M15" s="30">
        <f t="shared" si="6"/>
        <v>124</v>
      </c>
      <c r="N15" s="30">
        <f t="shared" si="6"/>
        <v>124</v>
      </c>
      <c r="O15" s="33">
        <f t="shared" si="7"/>
        <v>1488</v>
      </c>
    </row>
    <row r="16" spans="1:15" x14ac:dyDescent="0.35">
      <c r="A16" s="28" t="s">
        <v>18</v>
      </c>
      <c r="B16" s="49">
        <v>0.1</v>
      </c>
      <c r="C16" s="30">
        <f t="shared" si="6"/>
        <v>124</v>
      </c>
      <c r="D16" s="30">
        <f t="shared" si="6"/>
        <v>124</v>
      </c>
      <c r="E16" s="30">
        <f t="shared" si="6"/>
        <v>124</v>
      </c>
      <c r="F16" s="30">
        <f t="shared" si="6"/>
        <v>124</v>
      </c>
      <c r="G16" s="30">
        <f t="shared" si="6"/>
        <v>124</v>
      </c>
      <c r="H16" s="30">
        <f t="shared" si="6"/>
        <v>124</v>
      </c>
      <c r="I16" s="30">
        <f t="shared" si="6"/>
        <v>124</v>
      </c>
      <c r="J16" s="30">
        <f t="shared" si="6"/>
        <v>124</v>
      </c>
      <c r="K16" s="30">
        <f t="shared" si="6"/>
        <v>124</v>
      </c>
      <c r="L16" s="30">
        <f t="shared" si="6"/>
        <v>124</v>
      </c>
      <c r="M16" s="30">
        <f t="shared" si="6"/>
        <v>124</v>
      </c>
      <c r="N16" s="30">
        <f t="shared" si="6"/>
        <v>124</v>
      </c>
      <c r="O16" s="33">
        <f t="shared" si="7"/>
        <v>1488</v>
      </c>
    </row>
    <row r="17" spans="1:18" x14ac:dyDescent="0.35">
      <c r="A17" s="28" t="s">
        <v>19</v>
      </c>
      <c r="B17" s="49">
        <v>0.1</v>
      </c>
      <c r="C17" s="30">
        <f t="shared" si="6"/>
        <v>124</v>
      </c>
      <c r="D17" s="30">
        <f t="shared" si="6"/>
        <v>124</v>
      </c>
      <c r="E17" s="30">
        <f t="shared" si="6"/>
        <v>124</v>
      </c>
      <c r="F17" s="30">
        <f t="shared" si="6"/>
        <v>124</v>
      </c>
      <c r="G17" s="30">
        <f t="shared" si="6"/>
        <v>124</v>
      </c>
      <c r="H17" s="30">
        <f t="shared" si="6"/>
        <v>124</v>
      </c>
      <c r="I17" s="30">
        <f t="shared" si="6"/>
        <v>124</v>
      </c>
      <c r="J17" s="30">
        <f t="shared" si="6"/>
        <v>124</v>
      </c>
      <c r="K17" s="30">
        <f t="shared" si="6"/>
        <v>124</v>
      </c>
      <c r="L17" s="30">
        <f t="shared" si="6"/>
        <v>124</v>
      </c>
      <c r="M17" s="30">
        <f t="shared" si="6"/>
        <v>124</v>
      </c>
      <c r="N17" s="30">
        <f t="shared" si="6"/>
        <v>124</v>
      </c>
      <c r="O17" s="33">
        <f t="shared" ref="O17" si="8">SUM(C17:N17)</f>
        <v>1488</v>
      </c>
    </row>
    <row r="18" spans="1:18" ht="15" thickBot="1" x14ac:dyDescent="0.4">
      <c r="A18" s="58"/>
      <c r="B18" s="59"/>
      <c r="C18" s="60">
        <f>SUM(C12:C17)</f>
        <v>1240</v>
      </c>
      <c r="D18" s="60">
        <f t="shared" ref="D18:O18" si="9">SUM(D12:D17)</f>
        <v>1240</v>
      </c>
      <c r="E18" s="60">
        <f>SUM(E12:E17)</f>
        <v>1240</v>
      </c>
      <c r="F18" s="60">
        <f t="shared" si="9"/>
        <v>1240</v>
      </c>
      <c r="G18" s="60">
        <f t="shared" si="9"/>
        <v>1240</v>
      </c>
      <c r="H18" s="60">
        <f t="shared" si="9"/>
        <v>1240</v>
      </c>
      <c r="I18" s="60">
        <f t="shared" si="9"/>
        <v>1240</v>
      </c>
      <c r="J18" s="60">
        <f t="shared" si="9"/>
        <v>1240</v>
      </c>
      <c r="K18" s="60">
        <f t="shared" si="9"/>
        <v>1240</v>
      </c>
      <c r="L18" s="60">
        <f t="shared" si="9"/>
        <v>1240</v>
      </c>
      <c r="M18" s="60">
        <f t="shared" si="9"/>
        <v>1240</v>
      </c>
      <c r="N18" s="60">
        <f t="shared" si="9"/>
        <v>1240</v>
      </c>
      <c r="O18" s="61">
        <f t="shared" si="9"/>
        <v>14880</v>
      </c>
    </row>
    <row r="19" spans="1:18" ht="15" thickTop="1" x14ac:dyDescent="0.35"/>
    <row r="20" spans="1:18" x14ac:dyDescent="0.35">
      <c r="A20" s="51" t="s">
        <v>43</v>
      </c>
      <c r="B20" s="57">
        <v>1776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32"/>
    </row>
    <row r="21" spans="1:18" x14ac:dyDescent="0.35">
      <c r="A21" s="28" t="s">
        <v>12</v>
      </c>
      <c r="B21" s="49">
        <v>0.1</v>
      </c>
      <c r="C21" s="30">
        <f>$B$20*$B21</f>
        <v>177.60000000000002</v>
      </c>
      <c r="D21" s="30">
        <f t="shared" ref="D21:N21" si="10">$B$20*$B21</f>
        <v>177.60000000000002</v>
      </c>
      <c r="E21" s="30">
        <f t="shared" si="10"/>
        <v>177.60000000000002</v>
      </c>
      <c r="F21" s="30">
        <f t="shared" si="10"/>
        <v>177.60000000000002</v>
      </c>
      <c r="G21" s="30">
        <f t="shared" si="10"/>
        <v>177.60000000000002</v>
      </c>
      <c r="H21" s="30">
        <f t="shared" si="10"/>
        <v>177.60000000000002</v>
      </c>
      <c r="I21" s="30">
        <f t="shared" si="10"/>
        <v>177.60000000000002</v>
      </c>
      <c r="J21" s="30">
        <f t="shared" si="10"/>
        <v>177.60000000000002</v>
      </c>
      <c r="K21" s="30">
        <f t="shared" si="10"/>
        <v>177.60000000000002</v>
      </c>
      <c r="L21" s="30">
        <f t="shared" si="10"/>
        <v>177.60000000000002</v>
      </c>
      <c r="M21" s="30">
        <f t="shared" si="10"/>
        <v>177.60000000000002</v>
      </c>
      <c r="N21" s="30">
        <f t="shared" si="10"/>
        <v>177.60000000000002</v>
      </c>
      <c r="O21" s="33">
        <f>SUM(C21:N21)</f>
        <v>2131.1999999999998</v>
      </c>
      <c r="Q21" s="68" t="s">
        <v>44</v>
      </c>
      <c r="R21" s="68"/>
    </row>
    <row r="22" spans="1:18" x14ac:dyDescent="0.35">
      <c r="A22" s="28" t="s">
        <v>14</v>
      </c>
      <c r="B22" s="49">
        <v>0.2</v>
      </c>
      <c r="C22" s="30">
        <f t="shared" ref="C22:N26" si="11">$B$20*$B22</f>
        <v>355.20000000000005</v>
      </c>
      <c r="D22" s="30">
        <f t="shared" si="11"/>
        <v>355.20000000000005</v>
      </c>
      <c r="E22" s="30">
        <f t="shared" si="11"/>
        <v>355.20000000000005</v>
      </c>
      <c r="F22" s="30">
        <f t="shared" si="11"/>
        <v>355.20000000000005</v>
      </c>
      <c r="G22" s="30">
        <f t="shared" si="11"/>
        <v>355.20000000000005</v>
      </c>
      <c r="H22" s="30">
        <f t="shared" si="11"/>
        <v>355.20000000000005</v>
      </c>
      <c r="I22" s="30">
        <f t="shared" si="11"/>
        <v>355.20000000000005</v>
      </c>
      <c r="J22" s="30">
        <f t="shared" si="11"/>
        <v>355.20000000000005</v>
      </c>
      <c r="K22" s="30">
        <f t="shared" si="11"/>
        <v>355.20000000000005</v>
      </c>
      <c r="L22" s="30">
        <f t="shared" si="11"/>
        <v>355.20000000000005</v>
      </c>
      <c r="M22" s="30">
        <f t="shared" si="11"/>
        <v>355.20000000000005</v>
      </c>
      <c r="N22" s="30">
        <f t="shared" si="11"/>
        <v>355.20000000000005</v>
      </c>
      <c r="O22" s="33">
        <f t="shared" ref="O22:O26" si="12">SUM(C22:N22)</f>
        <v>4262.3999999999996</v>
      </c>
    </row>
    <row r="23" spans="1:18" x14ac:dyDescent="0.35">
      <c r="A23" s="28" t="s">
        <v>11</v>
      </c>
      <c r="B23" s="49">
        <v>0.2</v>
      </c>
      <c r="C23" s="30">
        <f t="shared" si="11"/>
        <v>355.20000000000005</v>
      </c>
      <c r="D23" s="30">
        <f t="shared" si="11"/>
        <v>355.20000000000005</v>
      </c>
      <c r="E23" s="30">
        <f t="shared" si="11"/>
        <v>355.20000000000005</v>
      </c>
      <c r="F23" s="30">
        <f t="shared" si="11"/>
        <v>355.20000000000005</v>
      </c>
      <c r="G23" s="30">
        <f t="shared" si="11"/>
        <v>355.20000000000005</v>
      </c>
      <c r="H23" s="30">
        <f t="shared" si="11"/>
        <v>355.20000000000005</v>
      </c>
      <c r="I23" s="30">
        <f t="shared" si="11"/>
        <v>355.20000000000005</v>
      </c>
      <c r="J23" s="30">
        <f t="shared" si="11"/>
        <v>355.20000000000005</v>
      </c>
      <c r="K23" s="30">
        <f t="shared" si="11"/>
        <v>355.20000000000005</v>
      </c>
      <c r="L23" s="30">
        <f t="shared" si="11"/>
        <v>355.20000000000005</v>
      </c>
      <c r="M23" s="30">
        <f t="shared" si="11"/>
        <v>355.20000000000005</v>
      </c>
      <c r="N23" s="30">
        <f t="shared" si="11"/>
        <v>355.20000000000005</v>
      </c>
      <c r="O23" s="33">
        <f t="shared" si="12"/>
        <v>4262.3999999999996</v>
      </c>
    </row>
    <row r="24" spans="1:18" x14ac:dyDescent="0.35">
      <c r="A24" s="28" t="s">
        <v>17</v>
      </c>
      <c r="B24" s="49">
        <v>0.2</v>
      </c>
      <c r="C24" s="30">
        <f t="shared" si="11"/>
        <v>355.20000000000005</v>
      </c>
      <c r="D24" s="30">
        <f t="shared" si="11"/>
        <v>355.20000000000005</v>
      </c>
      <c r="E24" s="30">
        <f t="shared" si="11"/>
        <v>355.20000000000005</v>
      </c>
      <c r="F24" s="30">
        <f t="shared" si="11"/>
        <v>355.20000000000005</v>
      </c>
      <c r="G24" s="30">
        <f t="shared" si="11"/>
        <v>355.20000000000005</v>
      </c>
      <c r="H24" s="30">
        <f t="shared" si="11"/>
        <v>355.20000000000005</v>
      </c>
      <c r="I24" s="30">
        <f t="shared" si="11"/>
        <v>355.20000000000005</v>
      </c>
      <c r="J24" s="30">
        <f t="shared" si="11"/>
        <v>355.20000000000005</v>
      </c>
      <c r="K24" s="30">
        <f t="shared" si="11"/>
        <v>355.20000000000005</v>
      </c>
      <c r="L24" s="30">
        <f t="shared" si="11"/>
        <v>355.20000000000005</v>
      </c>
      <c r="M24" s="30">
        <f t="shared" si="11"/>
        <v>355.20000000000005</v>
      </c>
      <c r="N24" s="30">
        <f t="shared" si="11"/>
        <v>355.20000000000005</v>
      </c>
      <c r="O24" s="33">
        <f t="shared" si="12"/>
        <v>4262.3999999999996</v>
      </c>
    </row>
    <row r="25" spans="1:18" x14ac:dyDescent="0.35">
      <c r="A25" s="28" t="s">
        <v>18</v>
      </c>
      <c r="B25" s="49">
        <v>0.2</v>
      </c>
      <c r="C25" s="30">
        <f t="shared" si="11"/>
        <v>355.20000000000005</v>
      </c>
      <c r="D25" s="30">
        <f t="shared" si="11"/>
        <v>355.20000000000005</v>
      </c>
      <c r="E25" s="30">
        <f t="shared" si="11"/>
        <v>355.20000000000005</v>
      </c>
      <c r="F25" s="30">
        <f t="shared" si="11"/>
        <v>355.20000000000005</v>
      </c>
      <c r="G25" s="30">
        <f t="shared" si="11"/>
        <v>355.20000000000005</v>
      </c>
      <c r="H25" s="30">
        <f t="shared" si="11"/>
        <v>355.20000000000005</v>
      </c>
      <c r="I25" s="30">
        <f t="shared" si="11"/>
        <v>355.20000000000005</v>
      </c>
      <c r="J25" s="30">
        <f t="shared" si="11"/>
        <v>355.20000000000005</v>
      </c>
      <c r="K25" s="30">
        <f t="shared" si="11"/>
        <v>355.20000000000005</v>
      </c>
      <c r="L25" s="30">
        <f t="shared" si="11"/>
        <v>355.20000000000005</v>
      </c>
      <c r="M25" s="30">
        <f t="shared" si="11"/>
        <v>355.20000000000005</v>
      </c>
      <c r="N25" s="30">
        <f t="shared" si="11"/>
        <v>355.20000000000005</v>
      </c>
      <c r="O25" s="33">
        <f t="shared" si="12"/>
        <v>4262.3999999999996</v>
      </c>
    </row>
    <row r="26" spans="1:18" x14ac:dyDescent="0.35">
      <c r="A26" s="28" t="s">
        <v>19</v>
      </c>
      <c r="B26" s="49">
        <v>0.1</v>
      </c>
      <c r="C26" s="30">
        <f t="shared" si="11"/>
        <v>177.60000000000002</v>
      </c>
      <c r="D26" s="30">
        <f t="shared" si="11"/>
        <v>177.60000000000002</v>
      </c>
      <c r="E26" s="30">
        <f t="shared" si="11"/>
        <v>177.60000000000002</v>
      </c>
      <c r="F26" s="30">
        <f t="shared" si="11"/>
        <v>177.60000000000002</v>
      </c>
      <c r="G26" s="30">
        <f t="shared" si="11"/>
        <v>177.60000000000002</v>
      </c>
      <c r="H26" s="30">
        <f t="shared" si="11"/>
        <v>177.60000000000002</v>
      </c>
      <c r="I26" s="30">
        <f t="shared" si="11"/>
        <v>177.60000000000002</v>
      </c>
      <c r="J26" s="30">
        <f t="shared" si="11"/>
        <v>177.60000000000002</v>
      </c>
      <c r="K26" s="30">
        <f t="shared" si="11"/>
        <v>177.60000000000002</v>
      </c>
      <c r="L26" s="30">
        <f t="shared" si="11"/>
        <v>177.60000000000002</v>
      </c>
      <c r="M26" s="30">
        <f t="shared" si="11"/>
        <v>177.60000000000002</v>
      </c>
      <c r="N26" s="30">
        <f t="shared" si="11"/>
        <v>177.60000000000002</v>
      </c>
      <c r="O26" s="33">
        <f t="shared" si="12"/>
        <v>2131.1999999999998</v>
      </c>
    </row>
    <row r="27" spans="1:18" ht="15" thickBot="1" x14ac:dyDescent="0.4">
      <c r="A27" s="58"/>
      <c r="B27" s="59"/>
      <c r="C27" s="60">
        <f>SUM(C21:C26)</f>
        <v>1776.0000000000005</v>
      </c>
      <c r="D27" s="60">
        <f t="shared" ref="D27:O27" si="13">SUM(D21:D26)</f>
        <v>1776.0000000000005</v>
      </c>
      <c r="E27" s="60">
        <f>SUM(E21:E26)</f>
        <v>1776.0000000000005</v>
      </c>
      <c r="F27" s="60">
        <f t="shared" si="13"/>
        <v>1776.0000000000005</v>
      </c>
      <c r="G27" s="60">
        <f t="shared" si="13"/>
        <v>1776.0000000000005</v>
      </c>
      <c r="H27" s="60">
        <f t="shared" si="13"/>
        <v>1776.0000000000005</v>
      </c>
      <c r="I27" s="60">
        <f t="shared" si="13"/>
        <v>1776.0000000000005</v>
      </c>
      <c r="J27" s="60">
        <f t="shared" si="13"/>
        <v>1776.0000000000005</v>
      </c>
      <c r="K27" s="60">
        <f t="shared" si="13"/>
        <v>1776.0000000000005</v>
      </c>
      <c r="L27" s="60">
        <f t="shared" si="13"/>
        <v>1776.0000000000005</v>
      </c>
      <c r="M27" s="60">
        <f t="shared" si="13"/>
        <v>1776.0000000000005</v>
      </c>
      <c r="N27" s="60">
        <f t="shared" si="13"/>
        <v>1776.0000000000005</v>
      </c>
      <c r="O27" s="61">
        <f t="shared" si="13"/>
        <v>21312</v>
      </c>
    </row>
    <row r="28" spans="1:18" ht="15" thickTop="1" x14ac:dyDescent="0.35"/>
    <row r="29" spans="1:18" x14ac:dyDescent="0.35">
      <c r="A29" s="51" t="s">
        <v>7</v>
      </c>
      <c r="B29" s="57">
        <v>1500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32"/>
    </row>
    <row r="30" spans="1:18" x14ac:dyDescent="0.35">
      <c r="A30" s="28" t="s">
        <v>12</v>
      </c>
      <c r="B30" s="66">
        <f t="shared" ref="B30:B35" si="14">1/6</f>
        <v>0.16666666666666666</v>
      </c>
      <c r="C30" s="30">
        <f>$B$29*$B30</f>
        <v>250</v>
      </c>
      <c r="D30" s="30">
        <f t="shared" ref="D30:F35" si="15">$B$29*$B30</f>
        <v>250</v>
      </c>
      <c r="E30" s="30">
        <f t="shared" si="15"/>
        <v>250</v>
      </c>
      <c r="F30" s="30">
        <f t="shared" si="15"/>
        <v>250</v>
      </c>
      <c r="G30" s="30">
        <f>500*$B30</f>
        <v>83.333333333333329</v>
      </c>
      <c r="H30" s="30">
        <f t="shared" ref="H30:N30" si="16">500*$B30</f>
        <v>83.333333333333329</v>
      </c>
      <c r="I30" s="30">
        <f t="shared" si="16"/>
        <v>83.333333333333329</v>
      </c>
      <c r="J30" s="30">
        <f t="shared" si="16"/>
        <v>83.333333333333329</v>
      </c>
      <c r="K30" s="30">
        <f t="shared" si="16"/>
        <v>83.333333333333329</v>
      </c>
      <c r="L30" s="30">
        <f t="shared" si="16"/>
        <v>83.333333333333329</v>
      </c>
      <c r="M30" s="30">
        <f t="shared" si="16"/>
        <v>83.333333333333329</v>
      </c>
      <c r="N30" s="30">
        <f t="shared" si="16"/>
        <v>83.333333333333329</v>
      </c>
      <c r="O30" s="33">
        <f>SUM(C30:N30)</f>
        <v>1666.6666666666661</v>
      </c>
    </row>
    <row r="31" spans="1:18" x14ac:dyDescent="0.35">
      <c r="A31" s="28" t="s">
        <v>14</v>
      </c>
      <c r="B31" s="66">
        <f t="shared" si="14"/>
        <v>0.16666666666666666</v>
      </c>
      <c r="C31" s="30">
        <f t="shared" ref="C31:C35" si="17">$B$29*$B31</f>
        <v>250</v>
      </c>
      <c r="D31" s="30">
        <f t="shared" si="15"/>
        <v>250</v>
      </c>
      <c r="E31" s="30">
        <f t="shared" si="15"/>
        <v>250</v>
      </c>
      <c r="F31" s="30">
        <f t="shared" si="15"/>
        <v>250</v>
      </c>
      <c r="G31" s="30">
        <f t="shared" ref="G31:N35" si="18">500*$B31</f>
        <v>83.333333333333329</v>
      </c>
      <c r="H31" s="30">
        <f t="shared" si="18"/>
        <v>83.333333333333329</v>
      </c>
      <c r="I31" s="30">
        <f t="shared" si="18"/>
        <v>83.333333333333329</v>
      </c>
      <c r="J31" s="30">
        <f t="shared" si="18"/>
        <v>83.333333333333329</v>
      </c>
      <c r="K31" s="30">
        <f t="shared" si="18"/>
        <v>83.333333333333329</v>
      </c>
      <c r="L31" s="30">
        <f t="shared" si="18"/>
        <v>83.333333333333329</v>
      </c>
      <c r="M31" s="30">
        <f t="shared" si="18"/>
        <v>83.333333333333329</v>
      </c>
      <c r="N31" s="30">
        <f t="shared" si="18"/>
        <v>83.333333333333329</v>
      </c>
      <c r="O31" s="33">
        <f t="shared" ref="O31:O35" si="19">SUM(C31:N31)</f>
        <v>1666.6666666666661</v>
      </c>
    </row>
    <row r="32" spans="1:18" x14ac:dyDescent="0.35">
      <c r="A32" s="28" t="s">
        <v>11</v>
      </c>
      <c r="B32" s="66">
        <f t="shared" si="14"/>
        <v>0.16666666666666666</v>
      </c>
      <c r="C32" s="30">
        <f t="shared" si="17"/>
        <v>250</v>
      </c>
      <c r="D32" s="30">
        <f t="shared" si="15"/>
        <v>250</v>
      </c>
      <c r="E32" s="30">
        <f t="shared" si="15"/>
        <v>250</v>
      </c>
      <c r="F32" s="30">
        <f t="shared" si="15"/>
        <v>250</v>
      </c>
      <c r="G32" s="30">
        <f t="shared" si="18"/>
        <v>83.333333333333329</v>
      </c>
      <c r="H32" s="30">
        <f t="shared" si="18"/>
        <v>83.333333333333329</v>
      </c>
      <c r="I32" s="30">
        <f t="shared" si="18"/>
        <v>83.333333333333329</v>
      </c>
      <c r="J32" s="30">
        <f t="shared" si="18"/>
        <v>83.333333333333329</v>
      </c>
      <c r="K32" s="30">
        <f t="shared" si="18"/>
        <v>83.333333333333329</v>
      </c>
      <c r="L32" s="30">
        <f t="shared" si="18"/>
        <v>83.333333333333329</v>
      </c>
      <c r="M32" s="30">
        <f t="shared" si="18"/>
        <v>83.333333333333329</v>
      </c>
      <c r="N32" s="30">
        <f t="shared" si="18"/>
        <v>83.333333333333329</v>
      </c>
      <c r="O32" s="33">
        <f t="shared" si="19"/>
        <v>1666.6666666666661</v>
      </c>
    </row>
    <row r="33" spans="1:15" x14ac:dyDescent="0.35">
      <c r="A33" s="28" t="s">
        <v>17</v>
      </c>
      <c r="B33" s="66">
        <f t="shared" si="14"/>
        <v>0.16666666666666666</v>
      </c>
      <c r="C33" s="30">
        <f t="shared" si="17"/>
        <v>250</v>
      </c>
      <c r="D33" s="30">
        <f t="shared" si="15"/>
        <v>250</v>
      </c>
      <c r="E33" s="30">
        <f t="shared" si="15"/>
        <v>250</v>
      </c>
      <c r="F33" s="30">
        <f t="shared" si="15"/>
        <v>250</v>
      </c>
      <c r="G33" s="30">
        <f t="shared" si="18"/>
        <v>83.333333333333329</v>
      </c>
      <c r="H33" s="30">
        <f t="shared" si="18"/>
        <v>83.333333333333329</v>
      </c>
      <c r="I33" s="30">
        <f t="shared" si="18"/>
        <v>83.333333333333329</v>
      </c>
      <c r="J33" s="30">
        <f t="shared" si="18"/>
        <v>83.333333333333329</v>
      </c>
      <c r="K33" s="30">
        <f t="shared" si="18"/>
        <v>83.333333333333329</v>
      </c>
      <c r="L33" s="30">
        <f t="shared" si="18"/>
        <v>83.333333333333329</v>
      </c>
      <c r="M33" s="30">
        <f t="shared" si="18"/>
        <v>83.333333333333329</v>
      </c>
      <c r="N33" s="30">
        <f t="shared" si="18"/>
        <v>83.333333333333329</v>
      </c>
      <c r="O33" s="33">
        <f t="shared" si="19"/>
        <v>1666.6666666666661</v>
      </c>
    </row>
    <row r="34" spans="1:15" x14ac:dyDescent="0.35">
      <c r="A34" s="28" t="s">
        <v>18</v>
      </c>
      <c r="B34" s="66">
        <f t="shared" si="14"/>
        <v>0.16666666666666666</v>
      </c>
      <c r="C34" s="30">
        <f t="shared" si="17"/>
        <v>250</v>
      </c>
      <c r="D34" s="30">
        <f t="shared" si="15"/>
        <v>250</v>
      </c>
      <c r="E34" s="30">
        <f t="shared" si="15"/>
        <v>250</v>
      </c>
      <c r="F34" s="30">
        <f t="shared" si="15"/>
        <v>250</v>
      </c>
      <c r="G34" s="30">
        <f t="shared" si="18"/>
        <v>83.333333333333329</v>
      </c>
      <c r="H34" s="30">
        <f t="shared" si="18"/>
        <v>83.333333333333329</v>
      </c>
      <c r="I34" s="30">
        <f t="shared" si="18"/>
        <v>83.333333333333329</v>
      </c>
      <c r="J34" s="30">
        <f t="shared" si="18"/>
        <v>83.333333333333329</v>
      </c>
      <c r="K34" s="30">
        <f t="shared" si="18"/>
        <v>83.333333333333329</v>
      </c>
      <c r="L34" s="30">
        <f t="shared" si="18"/>
        <v>83.333333333333329</v>
      </c>
      <c r="M34" s="30">
        <f t="shared" si="18"/>
        <v>83.333333333333329</v>
      </c>
      <c r="N34" s="30">
        <f t="shared" si="18"/>
        <v>83.333333333333329</v>
      </c>
      <c r="O34" s="33">
        <f t="shared" si="19"/>
        <v>1666.6666666666661</v>
      </c>
    </row>
    <row r="35" spans="1:15" x14ac:dyDescent="0.35">
      <c r="A35" s="28" t="s">
        <v>19</v>
      </c>
      <c r="B35" s="66">
        <f t="shared" si="14"/>
        <v>0.16666666666666666</v>
      </c>
      <c r="C35" s="30">
        <f t="shared" si="17"/>
        <v>250</v>
      </c>
      <c r="D35" s="30">
        <f t="shared" si="15"/>
        <v>250</v>
      </c>
      <c r="E35" s="30">
        <f t="shared" si="15"/>
        <v>250</v>
      </c>
      <c r="F35" s="30">
        <f t="shared" si="15"/>
        <v>250</v>
      </c>
      <c r="G35" s="30">
        <f t="shared" si="18"/>
        <v>83.333333333333329</v>
      </c>
      <c r="H35" s="30">
        <f t="shared" si="18"/>
        <v>83.333333333333329</v>
      </c>
      <c r="I35" s="30">
        <f t="shared" si="18"/>
        <v>83.333333333333329</v>
      </c>
      <c r="J35" s="30">
        <f t="shared" si="18"/>
        <v>83.333333333333329</v>
      </c>
      <c r="K35" s="30">
        <f t="shared" si="18"/>
        <v>83.333333333333329</v>
      </c>
      <c r="L35" s="30">
        <f t="shared" si="18"/>
        <v>83.333333333333329</v>
      </c>
      <c r="M35" s="30">
        <f t="shared" si="18"/>
        <v>83.333333333333329</v>
      </c>
      <c r="N35" s="30">
        <f t="shared" si="18"/>
        <v>83.333333333333329</v>
      </c>
      <c r="O35" s="33">
        <f t="shared" si="19"/>
        <v>1666.6666666666661</v>
      </c>
    </row>
    <row r="36" spans="1:15" ht="15" thickBot="1" x14ac:dyDescent="0.4">
      <c r="A36" s="58"/>
      <c r="B36" s="59"/>
      <c r="C36" s="60">
        <f>SUM(C30:C35)</f>
        <v>1500</v>
      </c>
      <c r="D36" s="60">
        <f t="shared" ref="D36:O36" si="20">SUM(D30:D35)</f>
        <v>1500</v>
      </c>
      <c r="E36" s="60">
        <f>SUM(E30:E35)</f>
        <v>1500</v>
      </c>
      <c r="F36" s="60">
        <f t="shared" si="20"/>
        <v>1500</v>
      </c>
      <c r="G36" s="60">
        <f t="shared" si="20"/>
        <v>499.99999999999994</v>
      </c>
      <c r="H36" s="60">
        <f t="shared" si="20"/>
        <v>499.99999999999994</v>
      </c>
      <c r="I36" s="60">
        <f t="shared" si="20"/>
        <v>499.99999999999994</v>
      </c>
      <c r="J36" s="60">
        <f t="shared" si="20"/>
        <v>499.99999999999994</v>
      </c>
      <c r="K36" s="60">
        <f t="shared" si="20"/>
        <v>499.99999999999994</v>
      </c>
      <c r="L36" s="60">
        <f t="shared" si="20"/>
        <v>499.99999999999994</v>
      </c>
      <c r="M36" s="60">
        <f t="shared" si="20"/>
        <v>499.99999999999994</v>
      </c>
      <c r="N36" s="60">
        <f t="shared" si="20"/>
        <v>499.99999999999994</v>
      </c>
      <c r="O36" s="61">
        <f t="shared" si="20"/>
        <v>9999.9999999999964</v>
      </c>
    </row>
    <row r="37" spans="1:15" ht="15" thickTop="1" x14ac:dyDescent="0.35"/>
    <row r="39" spans="1:15" x14ac:dyDescent="0.35">
      <c r="E39" s="26">
        <f>E36+E27+E18+E9</f>
        <v>6016</v>
      </c>
      <c r="F39" s="26">
        <f t="shared" ref="F39:N39" si="21">F36+F27+F18+F9</f>
        <v>6016</v>
      </c>
      <c r="G39" s="26">
        <f t="shared" si="21"/>
        <v>5016</v>
      </c>
      <c r="H39" s="26">
        <f t="shared" si="21"/>
        <v>5016</v>
      </c>
      <c r="I39" s="26">
        <f t="shared" si="21"/>
        <v>5016</v>
      </c>
      <c r="J39" s="26">
        <f t="shared" si="21"/>
        <v>5016</v>
      </c>
      <c r="K39" s="26">
        <f t="shared" si="21"/>
        <v>5016</v>
      </c>
      <c r="L39" s="26">
        <f t="shared" si="21"/>
        <v>5016</v>
      </c>
      <c r="M39" s="26">
        <f t="shared" si="21"/>
        <v>5016</v>
      </c>
      <c r="N39" s="26">
        <f t="shared" si="21"/>
        <v>5016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3FBE-3D1B-46A9-8260-BEDE446A6AF2}">
  <dimension ref="A1:T37"/>
  <sheetViews>
    <sheetView workbookViewId="0">
      <selection activeCell="S31" sqref="S31"/>
    </sheetView>
  </sheetViews>
  <sheetFormatPr defaultRowHeight="14.5" x14ac:dyDescent="0.35"/>
  <cols>
    <col min="1" max="1" width="20.1796875" customWidth="1"/>
    <col min="2" max="2" width="18.26953125" style="25" customWidth="1"/>
    <col min="3" max="14" width="9" bestFit="1" customWidth="1"/>
    <col min="15" max="15" width="9" style="35" bestFit="1" customWidth="1"/>
  </cols>
  <sheetData>
    <row r="1" spans="1:15" x14ac:dyDescent="0.35">
      <c r="A1" s="2"/>
      <c r="B1" s="24"/>
      <c r="C1" s="2" t="s">
        <v>0</v>
      </c>
      <c r="D1" s="2" t="s">
        <v>0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3"/>
    </row>
    <row r="2" spans="1:15" x14ac:dyDescent="0.35">
      <c r="A2" s="4" t="s">
        <v>15</v>
      </c>
      <c r="B2" s="24" t="s">
        <v>20</v>
      </c>
      <c r="C2" s="4">
        <v>45931</v>
      </c>
      <c r="D2" s="4">
        <v>45962</v>
      </c>
      <c r="E2" s="4">
        <v>45992</v>
      </c>
      <c r="F2" s="4">
        <v>46023</v>
      </c>
      <c r="G2" s="4">
        <v>46054</v>
      </c>
      <c r="H2" s="4">
        <v>46082</v>
      </c>
      <c r="I2" s="4">
        <v>46113</v>
      </c>
      <c r="J2" s="4">
        <v>46143</v>
      </c>
      <c r="K2" s="4">
        <v>46174</v>
      </c>
      <c r="L2" s="4">
        <v>46204</v>
      </c>
      <c r="M2" s="4">
        <v>46235</v>
      </c>
      <c r="N2" s="4">
        <v>46266</v>
      </c>
      <c r="O2" s="5" t="s">
        <v>2</v>
      </c>
    </row>
    <row r="3" spans="1:15" s="23" customFormat="1" x14ac:dyDescent="0.35">
      <c r="A3" s="51" t="s">
        <v>45</v>
      </c>
      <c r="B3" s="57">
        <v>1500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32"/>
    </row>
    <row r="4" spans="1:15" s="23" customFormat="1" ht="13" x14ac:dyDescent="0.3">
      <c r="A4" s="28" t="s">
        <v>14</v>
      </c>
      <c r="B4" s="49">
        <v>0.2</v>
      </c>
      <c r="C4" s="30">
        <f>$B$3*$B$5</f>
        <v>300</v>
      </c>
      <c r="D4" s="30">
        <f t="shared" ref="D4:N5" si="0">$B$3*$B$5</f>
        <v>300</v>
      </c>
      <c r="E4" s="30">
        <f t="shared" si="0"/>
        <v>300</v>
      </c>
      <c r="F4" s="30">
        <f t="shared" si="0"/>
        <v>300</v>
      </c>
      <c r="G4" s="30">
        <f t="shared" si="0"/>
        <v>300</v>
      </c>
      <c r="H4" s="30">
        <f t="shared" si="0"/>
        <v>300</v>
      </c>
      <c r="I4" s="30">
        <f t="shared" si="0"/>
        <v>300</v>
      </c>
      <c r="J4" s="30">
        <f t="shared" si="0"/>
        <v>300</v>
      </c>
      <c r="K4" s="30">
        <f t="shared" si="0"/>
        <v>300</v>
      </c>
      <c r="L4" s="30">
        <f t="shared" si="0"/>
        <v>300</v>
      </c>
      <c r="M4" s="30">
        <f t="shared" si="0"/>
        <v>300</v>
      </c>
      <c r="N4" s="30">
        <f t="shared" si="0"/>
        <v>300</v>
      </c>
      <c r="O4" s="33">
        <f>SUM(C4:N4)</f>
        <v>3600</v>
      </c>
    </row>
    <row r="5" spans="1:15" s="23" customFormat="1" ht="13" x14ac:dyDescent="0.3">
      <c r="A5" s="28" t="s">
        <v>11</v>
      </c>
      <c r="B5" s="49">
        <v>0.2</v>
      </c>
      <c r="C5" s="30">
        <f>$B$3*$B$5</f>
        <v>300</v>
      </c>
      <c r="D5" s="30">
        <f t="shared" si="0"/>
        <v>300</v>
      </c>
      <c r="E5" s="30">
        <f t="shared" si="0"/>
        <v>300</v>
      </c>
      <c r="F5" s="30">
        <f t="shared" si="0"/>
        <v>300</v>
      </c>
      <c r="G5" s="30">
        <f t="shared" si="0"/>
        <v>300</v>
      </c>
      <c r="H5" s="30">
        <f t="shared" si="0"/>
        <v>300</v>
      </c>
      <c r="I5" s="30">
        <f t="shared" si="0"/>
        <v>300</v>
      </c>
      <c r="J5" s="30">
        <f t="shared" si="0"/>
        <v>300</v>
      </c>
      <c r="K5" s="30">
        <f t="shared" si="0"/>
        <v>300</v>
      </c>
      <c r="L5" s="30">
        <f t="shared" si="0"/>
        <v>300</v>
      </c>
      <c r="M5" s="30">
        <f t="shared" si="0"/>
        <v>300</v>
      </c>
      <c r="N5" s="30">
        <f t="shared" si="0"/>
        <v>300</v>
      </c>
      <c r="O5" s="33">
        <f>SUM(C5:N5)</f>
        <v>3600</v>
      </c>
    </row>
    <row r="6" spans="1:15" s="23" customFormat="1" ht="13" x14ac:dyDescent="0.3">
      <c r="A6" s="28" t="s">
        <v>17</v>
      </c>
      <c r="B6" s="49">
        <v>0.2</v>
      </c>
      <c r="C6" s="30">
        <f>$B$3*$B$5</f>
        <v>300</v>
      </c>
      <c r="D6" s="30">
        <f t="shared" ref="D6:N8" si="1">$B$3*$B$5</f>
        <v>300</v>
      </c>
      <c r="E6" s="30">
        <f t="shared" si="1"/>
        <v>300</v>
      </c>
      <c r="F6" s="30">
        <f t="shared" si="1"/>
        <v>300</v>
      </c>
      <c r="G6" s="30">
        <f t="shared" si="1"/>
        <v>300</v>
      </c>
      <c r="H6" s="30">
        <f t="shared" si="1"/>
        <v>300</v>
      </c>
      <c r="I6" s="30">
        <f t="shared" si="1"/>
        <v>300</v>
      </c>
      <c r="J6" s="30">
        <f t="shared" si="1"/>
        <v>300</v>
      </c>
      <c r="K6" s="30">
        <f t="shared" si="1"/>
        <v>300</v>
      </c>
      <c r="L6" s="30">
        <f t="shared" si="1"/>
        <v>300</v>
      </c>
      <c r="M6" s="30">
        <f t="shared" si="1"/>
        <v>300</v>
      </c>
      <c r="N6" s="30">
        <f t="shared" si="1"/>
        <v>300</v>
      </c>
      <c r="O6" s="33">
        <f t="shared" ref="O6:O8" si="2">SUM(C6:N6)</f>
        <v>3600</v>
      </c>
    </row>
    <row r="7" spans="1:15" s="23" customFormat="1" ht="13" x14ac:dyDescent="0.3">
      <c r="A7" s="28" t="s">
        <v>18</v>
      </c>
      <c r="B7" s="49">
        <v>0.2</v>
      </c>
      <c r="C7" s="30">
        <f>$B$3*$B$5</f>
        <v>300</v>
      </c>
      <c r="D7" s="30">
        <f t="shared" si="1"/>
        <v>300</v>
      </c>
      <c r="E7" s="30">
        <f t="shared" si="1"/>
        <v>300</v>
      </c>
      <c r="F7" s="30">
        <f t="shared" si="1"/>
        <v>300</v>
      </c>
      <c r="G7" s="30">
        <f t="shared" si="1"/>
        <v>300</v>
      </c>
      <c r="H7" s="30">
        <f t="shared" si="1"/>
        <v>300</v>
      </c>
      <c r="I7" s="30">
        <f t="shared" si="1"/>
        <v>300</v>
      </c>
      <c r="J7" s="30">
        <f t="shared" si="1"/>
        <v>300</v>
      </c>
      <c r="K7" s="30">
        <f t="shared" si="1"/>
        <v>300</v>
      </c>
      <c r="L7" s="30">
        <f t="shared" si="1"/>
        <v>300</v>
      </c>
      <c r="M7" s="30">
        <f t="shared" si="1"/>
        <v>300</v>
      </c>
      <c r="N7" s="30">
        <f t="shared" si="1"/>
        <v>300</v>
      </c>
      <c r="O7" s="33">
        <f t="shared" si="2"/>
        <v>3600</v>
      </c>
    </row>
    <row r="8" spans="1:15" s="23" customFormat="1" ht="13" x14ac:dyDescent="0.3">
      <c r="A8" s="28" t="s">
        <v>19</v>
      </c>
      <c r="B8" s="49">
        <v>0.2</v>
      </c>
      <c r="C8" s="30">
        <f>$B$3*$B$5</f>
        <v>300</v>
      </c>
      <c r="D8" s="30">
        <f t="shared" si="1"/>
        <v>300</v>
      </c>
      <c r="E8" s="30">
        <f t="shared" si="1"/>
        <v>300</v>
      </c>
      <c r="F8" s="30">
        <f t="shared" si="1"/>
        <v>300</v>
      </c>
      <c r="G8" s="30">
        <f t="shared" si="1"/>
        <v>300</v>
      </c>
      <c r="H8" s="30">
        <f t="shared" si="1"/>
        <v>300</v>
      </c>
      <c r="I8" s="30">
        <f t="shared" si="1"/>
        <v>300</v>
      </c>
      <c r="J8" s="30">
        <f t="shared" si="1"/>
        <v>300</v>
      </c>
      <c r="K8" s="30">
        <f t="shared" si="1"/>
        <v>300</v>
      </c>
      <c r="L8" s="30">
        <f t="shared" si="1"/>
        <v>300</v>
      </c>
      <c r="M8" s="30">
        <f t="shared" si="1"/>
        <v>300</v>
      </c>
      <c r="N8" s="30">
        <f t="shared" si="1"/>
        <v>300</v>
      </c>
      <c r="O8" s="33">
        <f t="shared" si="2"/>
        <v>3600</v>
      </c>
    </row>
    <row r="9" spans="1:15" ht="15" thickBot="1" x14ac:dyDescent="0.4">
      <c r="A9" s="58"/>
      <c r="B9" s="59"/>
      <c r="C9" s="60">
        <f>SUM(C5:C8)</f>
        <v>1200</v>
      </c>
      <c r="D9" s="60">
        <f t="shared" ref="D9:O9" si="3">SUM(D5:D8)</f>
        <v>1200</v>
      </c>
      <c r="E9" s="60">
        <f t="shared" si="3"/>
        <v>1200</v>
      </c>
      <c r="F9" s="60">
        <f t="shared" si="3"/>
        <v>1200</v>
      </c>
      <c r="G9" s="60">
        <f t="shared" si="3"/>
        <v>1200</v>
      </c>
      <c r="H9" s="60">
        <f t="shared" si="3"/>
        <v>1200</v>
      </c>
      <c r="I9" s="60">
        <f t="shared" si="3"/>
        <v>1200</v>
      </c>
      <c r="J9" s="60">
        <f t="shared" si="3"/>
        <v>1200</v>
      </c>
      <c r="K9" s="60">
        <f t="shared" si="3"/>
        <v>1200</v>
      </c>
      <c r="L9" s="60">
        <f t="shared" si="3"/>
        <v>1200</v>
      </c>
      <c r="M9" s="60">
        <f t="shared" si="3"/>
        <v>1200</v>
      </c>
      <c r="N9" s="60">
        <f t="shared" si="3"/>
        <v>1200</v>
      </c>
      <c r="O9" s="61">
        <f t="shared" si="3"/>
        <v>14400</v>
      </c>
    </row>
    <row r="10" spans="1:15" ht="15" thickTop="1" x14ac:dyDescent="0.35"/>
    <row r="11" spans="1:15" x14ac:dyDescent="0.35">
      <c r="A11" s="51" t="s">
        <v>42</v>
      </c>
      <c r="B11" s="57">
        <v>1240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32"/>
    </row>
    <row r="12" spans="1:15" x14ac:dyDescent="0.35">
      <c r="A12" s="28" t="s">
        <v>12</v>
      </c>
      <c r="B12" s="49">
        <v>0.5</v>
      </c>
      <c r="C12" s="30">
        <f>$B$11*$B12</f>
        <v>620</v>
      </c>
      <c r="D12" s="30">
        <f t="shared" ref="D12:N12" si="4">$B$11*$B12</f>
        <v>620</v>
      </c>
      <c r="E12" s="30">
        <f t="shared" si="4"/>
        <v>620</v>
      </c>
      <c r="F12" s="30">
        <f t="shared" si="4"/>
        <v>620</v>
      </c>
      <c r="G12" s="30">
        <f t="shared" si="4"/>
        <v>620</v>
      </c>
      <c r="H12" s="30">
        <f t="shared" si="4"/>
        <v>620</v>
      </c>
      <c r="I12" s="30">
        <f t="shared" si="4"/>
        <v>620</v>
      </c>
      <c r="J12" s="30">
        <f t="shared" si="4"/>
        <v>620</v>
      </c>
      <c r="K12" s="30">
        <f t="shared" si="4"/>
        <v>620</v>
      </c>
      <c r="L12" s="30">
        <f t="shared" si="4"/>
        <v>620</v>
      </c>
      <c r="M12" s="30">
        <f t="shared" si="4"/>
        <v>620</v>
      </c>
      <c r="N12" s="30">
        <f t="shared" si="4"/>
        <v>620</v>
      </c>
      <c r="O12" s="33">
        <f>SUM(C12:N12)</f>
        <v>7440</v>
      </c>
    </row>
    <row r="13" spans="1:15" x14ac:dyDescent="0.35">
      <c r="A13" s="28" t="s">
        <v>14</v>
      </c>
      <c r="B13" s="49">
        <v>0.1</v>
      </c>
      <c r="C13" s="30">
        <f t="shared" ref="C13:N17" si="5">$B$11*$B13</f>
        <v>124</v>
      </c>
      <c r="D13" s="30">
        <f t="shared" si="5"/>
        <v>124</v>
      </c>
      <c r="E13" s="30">
        <f t="shared" si="5"/>
        <v>124</v>
      </c>
      <c r="F13" s="30">
        <f t="shared" si="5"/>
        <v>124</v>
      </c>
      <c r="G13" s="30">
        <f t="shared" si="5"/>
        <v>124</v>
      </c>
      <c r="H13" s="30">
        <f t="shared" si="5"/>
        <v>124</v>
      </c>
      <c r="I13" s="30">
        <f t="shared" si="5"/>
        <v>124</v>
      </c>
      <c r="J13" s="30">
        <f t="shared" si="5"/>
        <v>124</v>
      </c>
      <c r="K13" s="30">
        <f t="shared" si="5"/>
        <v>124</v>
      </c>
      <c r="L13" s="30">
        <f t="shared" si="5"/>
        <v>124</v>
      </c>
      <c r="M13" s="30">
        <f t="shared" si="5"/>
        <v>124</v>
      </c>
      <c r="N13" s="30">
        <f t="shared" si="5"/>
        <v>124</v>
      </c>
      <c r="O13" s="33">
        <f t="shared" ref="O13:O17" si="6">SUM(C13:N13)</f>
        <v>1488</v>
      </c>
    </row>
    <row r="14" spans="1:15" x14ac:dyDescent="0.35">
      <c r="A14" s="28" t="s">
        <v>11</v>
      </c>
      <c r="B14" s="49">
        <v>0.1</v>
      </c>
      <c r="C14" s="30">
        <f t="shared" si="5"/>
        <v>124</v>
      </c>
      <c r="D14" s="30">
        <f t="shared" si="5"/>
        <v>124</v>
      </c>
      <c r="E14" s="30">
        <f t="shared" si="5"/>
        <v>124</v>
      </c>
      <c r="F14" s="30">
        <f t="shared" si="5"/>
        <v>124</v>
      </c>
      <c r="G14" s="30">
        <f t="shared" si="5"/>
        <v>124</v>
      </c>
      <c r="H14" s="30">
        <f t="shared" si="5"/>
        <v>124</v>
      </c>
      <c r="I14" s="30">
        <f t="shared" si="5"/>
        <v>124</v>
      </c>
      <c r="J14" s="30">
        <f t="shared" si="5"/>
        <v>124</v>
      </c>
      <c r="K14" s="30">
        <f t="shared" si="5"/>
        <v>124</v>
      </c>
      <c r="L14" s="30">
        <f t="shared" si="5"/>
        <v>124</v>
      </c>
      <c r="M14" s="30">
        <f t="shared" si="5"/>
        <v>124</v>
      </c>
      <c r="N14" s="30">
        <f t="shared" si="5"/>
        <v>124</v>
      </c>
      <c r="O14" s="33">
        <f t="shared" si="6"/>
        <v>1488</v>
      </c>
    </row>
    <row r="15" spans="1:15" x14ac:dyDescent="0.35">
      <c r="A15" s="28" t="s">
        <v>17</v>
      </c>
      <c r="B15" s="49">
        <v>0.1</v>
      </c>
      <c r="C15" s="30">
        <f t="shared" si="5"/>
        <v>124</v>
      </c>
      <c r="D15" s="30">
        <f t="shared" si="5"/>
        <v>124</v>
      </c>
      <c r="E15" s="30">
        <f t="shared" si="5"/>
        <v>124</v>
      </c>
      <c r="F15" s="30">
        <f t="shared" si="5"/>
        <v>124</v>
      </c>
      <c r="G15" s="30">
        <f t="shared" si="5"/>
        <v>124</v>
      </c>
      <c r="H15" s="30">
        <f t="shared" si="5"/>
        <v>124</v>
      </c>
      <c r="I15" s="30">
        <f t="shared" si="5"/>
        <v>124</v>
      </c>
      <c r="J15" s="30">
        <f t="shared" si="5"/>
        <v>124</v>
      </c>
      <c r="K15" s="30">
        <f t="shared" si="5"/>
        <v>124</v>
      </c>
      <c r="L15" s="30">
        <f t="shared" si="5"/>
        <v>124</v>
      </c>
      <c r="M15" s="30">
        <f t="shared" si="5"/>
        <v>124</v>
      </c>
      <c r="N15" s="30">
        <f t="shared" si="5"/>
        <v>124</v>
      </c>
      <c r="O15" s="33">
        <f t="shared" si="6"/>
        <v>1488</v>
      </c>
    </row>
    <row r="16" spans="1:15" x14ac:dyDescent="0.35">
      <c r="A16" s="28" t="s">
        <v>18</v>
      </c>
      <c r="B16" s="49">
        <v>0.1</v>
      </c>
      <c r="C16" s="30">
        <f t="shared" si="5"/>
        <v>124</v>
      </c>
      <c r="D16" s="30">
        <f t="shared" si="5"/>
        <v>124</v>
      </c>
      <c r="E16" s="30">
        <f t="shared" si="5"/>
        <v>124</v>
      </c>
      <c r="F16" s="30">
        <f t="shared" si="5"/>
        <v>124</v>
      </c>
      <c r="G16" s="30">
        <f t="shared" si="5"/>
        <v>124</v>
      </c>
      <c r="H16" s="30">
        <f t="shared" si="5"/>
        <v>124</v>
      </c>
      <c r="I16" s="30">
        <f t="shared" si="5"/>
        <v>124</v>
      </c>
      <c r="J16" s="30">
        <f t="shared" si="5"/>
        <v>124</v>
      </c>
      <c r="K16" s="30">
        <f t="shared" si="5"/>
        <v>124</v>
      </c>
      <c r="L16" s="30">
        <f t="shared" si="5"/>
        <v>124</v>
      </c>
      <c r="M16" s="30">
        <f t="shared" si="5"/>
        <v>124</v>
      </c>
      <c r="N16" s="30">
        <f t="shared" si="5"/>
        <v>124</v>
      </c>
      <c r="O16" s="33">
        <f t="shared" si="6"/>
        <v>1488</v>
      </c>
    </row>
    <row r="17" spans="1:20" x14ac:dyDescent="0.35">
      <c r="A17" s="28" t="s">
        <v>19</v>
      </c>
      <c r="B17" s="49">
        <v>0.1</v>
      </c>
      <c r="C17" s="30">
        <f t="shared" si="5"/>
        <v>124</v>
      </c>
      <c r="D17" s="30">
        <f t="shared" si="5"/>
        <v>124</v>
      </c>
      <c r="E17" s="30">
        <f t="shared" si="5"/>
        <v>124</v>
      </c>
      <c r="F17" s="30">
        <f t="shared" si="5"/>
        <v>124</v>
      </c>
      <c r="G17" s="30">
        <f t="shared" si="5"/>
        <v>124</v>
      </c>
      <c r="H17" s="30">
        <f t="shared" si="5"/>
        <v>124</v>
      </c>
      <c r="I17" s="30">
        <f t="shared" si="5"/>
        <v>124</v>
      </c>
      <c r="J17" s="30">
        <f t="shared" si="5"/>
        <v>124</v>
      </c>
      <c r="K17" s="30">
        <f t="shared" si="5"/>
        <v>124</v>
      </c>
      <c r="L17" s="30">
        <f t="shared" si="5"/>
        <v>124</v>
      </c>
      <c r="M17" s="30">
        <f t="shared" si="5"/>
        <v>124</v>
      </c>
      <c r="N17" s="30">
        <f t="shared" si="5"/>
        <v>124</v>
      </c>
      <c r="O17" s="33">
        <f t="shared" si="6"/>
        <v>1488</v>
      </c>
    </row>
    <row r="18" spans="1:20" ht="15" thickBot="1" x14ac:dyDescent="0.4">
      <c r="A18" s="58"/>
      <c r="B18" s="59"/>
      <c r="C18" s="60">
        <f>SUM(C12:C17)</f>
        <v>1240</v>
      </c>
      <c r="D18" s="60">
        <f t="shared" ref="D18:O18" si="7">SUM(D12:D17)</f>
        <v>1240</v>
      </c>
      <c r="E18" s="60">
        <f t="shared" si="7"/>
        <v>1240</v>
      </c>
      <c r="F18" s="60">
        <f t="shared" si="7"/>
        <v>1240</v>
      </c>
      <c r="G18" s="60">
        <f t="shared" si="7"/>
        <v>1240</v>
      </c>
      <c r="H18" s="60">
        <f t="shared" si="7"/>
        <v>1240</v>
      </c>
      <c r="I18" s="60">
        <f t="shared" si="7"/>
        <v>1240</v>
      </c>
      <c r="J18" s="60">
        <f t="shared" si="7"/>
        <v>1240</v>
      </c>
      <c r="K18" s="60">
        <f t="shared" si="7"/>
        <v>1240</v>
      </c>
      <c r="L18" s="60">
        <f t="shared" si="7"/>
        <v>1240</v>
      </c>
      <c r="M18" s="60">
        <f t="shared" si="7"/>
        <v>1240</v>
      </c>
      <c r="N18" s="60">
        <f t="shared" si="7"/>
        <v>1240</v>
      </c>
      <c r="O18" s="61">
        <f t="shared" si="7"/>
        <v>14880</v>
      </c>
    </row>
    <row r="19" spans="1:20" ht="15" thickTop="1" x14ac:dyDescent="0.35">
      <c r="B19" s="18">
        <f>B20-S25-S27</f>
        <v>1312.75</v>
      </c>
    </row>
    <row r="20" spans="1:20" x14ac:dyDescent="0.35">
      <c r="A20" s="51" t="s">
        <v>43</v>
      </c>
      <c r="B20" s="57">
        <v>1776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32"/>
    </row>
    <row r="21" spans="1:20" x14ac:dyDescent="0.35">
      <c r="A21" s="28" t="s">
        <v>12</v>
      </c>
      <c r="B21" s="49">
        <v>0.1</v>
      </c>
      <c r="C21" s="30">
        <f>$B$20*$B21</f>
        <v>177.60000000000002</v>
      </c>
      <c r="D21" s="30">
        <f t="shared" ref="D21:H21" si="8">$B$20*$B21</f>
        <v>177.60000000000002</v>
      </c>
      <c r="E21" s="30">
        <f t="shared" si="8"/>
        <v>177.60000000000002</v>
      </c>
      <c r="F21" s="30">
        <f t="shared" si="8"/>
        <v>177.60000000000002</v>
      </c>
      <c r="G21" s="30">
        <f t="shared" si="8"/>
        <v>177.60000000000002</v>
      </c>
      <c r="H21" s="30">
        <f t="shared" si="8"/>
        <v>177.60000000000002</v>
      </c>
      <c r="I21" s="30">
        <f>$B$19*$B21</f>
        <v>131.27500000000001</v>
      </c>
      <c r="J21" s="30">
        <f t="shared" ref="J21:N26" si="9">$B$19*$B21</f>
        <v>131.27500000000001</v>
      </c>
      <c r="K21" s="30">
        <f t="shared" si="9"/>
        <v>131.27500000000001</v>
      </c>
      <c r="L21" s="30">
        <f t="shared" si="9"/>
        <v>131.27500000000001</v>
      </c>
      <c r="M21" s="30">
        <f t="shared" si="9"/>
        <v>131.27500000000001</v>
      </c>
      <c r="N21" s="30">
        <f t="shared" si="9"/>
        <v>131.27500000000001</v>
      </c>
      <c r="O21" s="33">
        <f>SUM(C21:N21)</f>
        <v>1853.2500000000007</v>
      </c>
    </row>
    <row r="22" spans="1:20" x14ac:dyDescent="0.35">
      <c r="A22" s="28" t="s">
        <v>14</v>
      </c>
      <c r="B22" s="49">
        <v>0.2</v>
      </c>
      <c r="C22" s="30">
        <f t="shared" ref="C22:H26" si="10">$B$20*$B22</f>
        <v>355.20000000000005</v>
      </c>
      <c r="D22" s="30">
        <f t="shared" si="10"/>
        <v>355.20000000000005</v>
      </c>
      <c r="E22" s="30">
        <f t="shared" si="10"/>
        <v>355.20000000000005</v>
      </c>
      <c r="F22" s="30">
        <f t="shared" si="10"/>
        <v>355.20000000000005</v>
      </c>
      <c r="G22" s="30">
        <f t="shared" si="10"/>
        <v>355.20000000000005</v>
      </c>
      <c r="H22" s="30">
        <f t="shared" si="10"/>
        <v>355.20000000000005</v>
      </c>
      <c r="I22" s="30">
        <f t="shared" ref="I22:I26" si="11">$B$19*$B22</f>
        <v>262.55</v>
      </c>
      <c r="J22" s="30">
        <f t="shared" si="9"/>
        <v>262.55</v>
      </c>
      <c r="K22" s="30">
        <f t="shared" si="9"/>
        <v>262.55</v>
      </c>
      <c r="L22" s="30">
        <f t="shared" si="9"/>
        <v>262.55</v>
      </c>
      <c r="M22" s="30">
        <f t="shared" si="9"/>
        <v>262.55</v>
      </c>
      <c r="N22" s="30">
        <f t="shared" si="9"/>
        <v>262.55</v>
      </c>
      <c r="O22" s="33">
        <f t="shared" ref="O22:O26" si="12">SUM(C22:N22)</f>
        <v>3706.5000000000014</v>
      </c>
    </row>
    <row r="23" spans="1:20" x14ac:dyDescent="0.35">
      <c r="A23" s="28" t="s">
        <v>11</v>
      </c>
      <c r="B23" s="49">
        <v>0.2</v>
      </c>
      <c r="C23" s="30">
        <f t="shared" si="10"/>
        <v>355.20000000000005</v>
      </c>
      <c r="D23" s="30">
        <f t="shared" si="10"/>
        <v>355.20000000000005</v>
      </c>
      <c r="E23" s="30">
        <f t="shared" si="10"/>
        <v>355.20000000000005</v>
      </c>
      <c r="F23" s="30">
        <f t="shared" si="10"/>
        <v>355.20000000000005</v>
      </c>
      <c r="G23" s="30">
        <f t="shared" si="10"/>
        <v>355.20000000000005</v>
      </c>
      <c r="H23" s="30">
        <f t="shared" si="10"/>
        <v>355.20000000000005</v>
      </c>
      <c r="I23" s="30">
        <f t="shared" si="11"/>
        <v>262.55</v>
      </c>
      <c r="J23" s="30">
        <f t="shared" si="9"/>
        <v>262.55</v>
      </c>
      <c r="K23" s="30">
        <f t="shared" si="9"/>
        <v>262.55</v>
      </c>
      <c r="L23" s="30">
        <f t="shared" si="9"/>
        <v>262.55</v>
      </c>
      <c r="M23" s="30">
        <f t="shared" si="9"/>
        <v>262.55</v>
      </c>
      <c r="N23" s="30">
        <f t="shared" si="9"/>
        <v>262.55</v>
      </c>
      <c r="O23" s="33">
        <f t="shared" si="12"/>
        <v>3706.5000000000014</v>
      </c>
    </row>
    <row r="24" spans="1:20" x14ac:dyDescent="0.35">
      <c r="A24" s="28" t="s">
        <v>17</v>
      </c>
      <c r="B24" s="49">
        <v>0.2</v>
      </c>
      <c r="C24" s="30">
        <f t="shared" si="10"/>
        <v>355.20000000000005</v>
      </c>
      <c r="D24" s="30">
        <f t="shared" si="10"/>
        <v>355.20000000000005</v>
      </c>
      <c r="E24" s="30">
        <f t="shared" si="10"/>
        <v>355.20000000000005</v>
      </c>
      <c r="F24" s="30">
        <f t="shared" si="10"/>
        <v>355.20000000000005</v>
      </c>
      <c r="G24" s="30">
        <f t="shared" si="10"/>
        <v>355.20000000000005</v>
      </c>
      <c r="H24" s="30">
        <f t="shared" si="10"/>
        <v>355.20000000000005</v>
      </c>
      <c r="I24" s="30">
        <f t="shared" si="11"/>
        <v>262.55</v>
      </c>
      <c r="J24" s="30">
        <f t="shared" si="9"/>
        <v>262.55</v>
      </c>
      <c r="K24" s="30">
        <f t="shared" si="9"/>
        <v>262.55</v>
      </c>
      <c r="L24" s="30">
        <f t="shared" si="9"/>
        <v>262.55</v>
      </c>
      <c r="M24" s="30">
        <f t="shared" si="9"/>
        <v>262.55</v>
      </c>
      <c r="N24" s="30">
        <f t="shared" si="9"/>
        <v>262.55</v>
      </c>
      <c r="O24" s="33">
        <f t="shared" si="12"/>
        <v>3706.5000000000014</v>
      </c>
      <c r="S24" t="s">
        <v>46</v>
      </c>
    </row>
    <row r="25" spans="1:20" x14ac:dyDescent="0.35">
      <c r="A25" s="28" t="s">
        <v>18</v>
      </c>
      <c r="B25" s="49">
        <v>0.2</v>
      </c>
      <c r="C25" s="30">
        <f t="shared" si="10"/>
        <v>355.20000000000005</v>
      </c>
      <c r="D25" s="30">
        <f t="shared" si="10"/>
        <v>355.20000000000005</v>
      </c>
      <c r="E25" s="30">
        <f t="shared" si="10"/>
        <v>355.20000000000005</v>
      </c>
      <c r="F25" s="30">
        <f t="shared" si="10"/>
        <v>355.20000000000005</v>
      </c>
      <c r="G25" s="30">
        <f t="shared" si="10"/>
        <v>355.20000000000005</v>
      </c>
      <c r="H25" s="30">
        <f t="shared" si="10"/>
        <v>355.20000000000005</v>
      </c>
      <c r="I25" s="30">
        <f t="shared" si="11"/>
        <v>262.55</v>
      </c>
      <c r="J25" s="30">
        <f t="shared" si="9"/>
        <v>262.55</v>
      </c>
      <c r="K25" s="30">
        <f t="shared" si="9"/>
        <v>262.55</v>
      </c>
      <c r="L25" s="30">
        <f t="shared" si="9"/>
        <v>262.55</v>
      </c>
      <c r="M25" s="30">
        <f t="shared" si="9"/>
        <v>262.55</v>
      </c>
      <c r="N25" s="30">
        <f t="shared" si="9"/>
        <v>262.55</v>
      </c>
      <c r="O25" s="33">
        <f t="shared" si="12"/>
        <v>3706.5000000000014</v>
      </c>
      <c r="Q25" s="69">
        <f>873/12</f>
        <v>72.75</v>
      </c>
      <c r="S25" s="67">
        <f>Q25*3</f>
        <v>218.25</v>
      </c>
    </row>
    <row r="26" spans="1:20" x14ac:dyDescent="0.35">
      <c r="A26" s="28" t="s">
        <v>19</v>
      </c>
      <c r="B26" s="49">
        <v>0.1</v>
      </c>
      <c r="C26" s="30">
        <f t="shared" si="10"/>
        <v>177.60000000000002</v>
      </c>
      <c r="D26" s="30">
        <f t="shared" si="10"/>
        <v>177.60000000000002</v>
      </c>
      <c r="E26" s="30">
        <f t="shared" si="10"/>
        <v>177.60000000000002</v>
      </c>
      <c r="F26" s="30">
        <f t="shared" si="10"/>
        <v>177.60000000000002</v>
      </c>
      <c r="G26" s="30">
        <f t="shared" si="10"/>
        <v>177.60000000000002</v>
      </c>
      <c r="H26" s="30">
        <f t="shared" si="10"/>
        <v>177.60000000000002</v>
      </c>
      <c r="I26" s="30">
        <f t="shared" si="11"/>
        <v>131.27500000000001</v>
      </c>
      <c r="J26" s="30">
        <f t="shared" si="9"/>
        <v>131.27500000000001</v>
      </c>
      <c r="K26" s="30">
        <f t="shared" si="9"/>
        <v>131.27500000000001</v>
      </c>
      <c r="L26" s="30">
        <f t="shared" si="9"/>
        <v>131.27500000000001</v>
      </c>
      <c r="M26" s="30">
        <f t="shared" si="9"/>
        <v>131.27500000000001</v>
      </c>
      <c r="N26" s="30">
        <f t="shared" si="9"/>
        <v>131.27500000000001</v>
      </c>
      <c r="O26" s="33">
        <f t="shared" si="12"/>
        <v>1853.2500000000007</v>
      </c>
    </row>
    <row r="27" spans="1:20" ht="15" thickBot="1" x14ac:dyDescent="0.4">
      <c r="A27" s="58"/>
      <c r="B27" s="59"/>
      <c r="C27" s="60">
        <f>SUM(C21:C26)</f>
        <v>1776.0000000000005</v>
      </c>
      <c r="D27" s="60">
        <f t="shared" ref="D27:O27" si="13">SUM(D21:D26)</f>
        <v>1776.0000000000005</v>
      </c>
      <c r="E27" s="60">
        <f t="shared" si="13"/>
        <v>1776.0000000000005</v>
      </c>
      <c r="F27" s="60">
        <f t="shared" si="13"/>
        <v>1776.0000000000005</v>
      </c>
      <c r="G27" s="60">
        <f t="shared" si="13"/>
        <v>1776.0000000000005</v>
      </c>
      <c r="H27" s="60">
        <f t="shared" si="13"/>
        <v>1776.0000000000005</v>
      </c>
      <c r="I27" s="60">
        <f t="shared" si="13"/>
        <v>1312.75</v>
      </c>
      <c r="J27" s="60">
        <f t="shared" si="13"/>
        <v>1312.75</v>
      </c>
      <c r="K27" s="60">
        <f t="shared" si="13"/>
        <v>1312.75</v>
      </c>
      <c r="L27" s="60">
        <f t="shared" si="13"/>
        <v>1312.75</v>
      </c>
      <c r="M27" s="60">
        <f t="shared" si="13"/>
        <v>1312.75</v>
      </c>
      <c r="N27" s="60">
        <f t="shared" si="13"/>
        <v>1312.75</v>
      </c>
      <c r="O27" s="61">
        <f t="shared" si="13"/>
        <v>18532.500000000007</v>
      </c>
      <c r="S27" s="67">
        <f>490/2</f>
        <v>245</v>
      </c>
      <c r="T27" t="s">
        <v>47</v>
      </c>
    </row>
    <row r="28" spans="1:20" ht="15" thickTop="1" x14ac:dyDescent="0.35"/>
    <row r="29" spans="1:20" x14ac:dyDescent="0.35">
      <c r="A29" s="51" t="s">
        <v>7</v>
      </c>
      <c r="B29" s="57">
        <v>1500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32"/>
    </row>
    <row r="30" spans="1:20" x14ac:dyDescent="0.35">
      <c r="A30" s="28" t="s">
        <v>12</v>
      </c>
      <c r="B30" s="66">
        <f t="shared" ref="B30:B35" si="14">1/6</f>
        <v>0.16666666666666666</v>
      </c>
      <c r="C30" s="30">
        <f>$B$29*$B30</f>
        <v>250</v>
      </c>
      <c r="D30" s="30">
        <f t="shared" ref="D30:F35" si="15">$B$29*$B30</f>
        <v>250</v>
      </c>
      <c r="E30" s="30">
        <f t="shared" si="15"/>
        <v>250</v>
      </c>
      <c r="F30" s="30">
        <f t="shared" si="15"/>
        <v>250</v>
      </c>
      <c r="G30" s="30">
        <f>500*$B30</f>
        <v>83.333333333333329</v>
      </c>
      <c r="H30" s="30">
        <f t="shared" ref="H30:N30" si="16">500*$B30</f>
        <v>83.333333333333329</v>
      </c>
      <c r="I30" s="30">
        <f t="shared" si="16"/>
        <v>83.333333333333329</v>
      </c>
      <c r="J30" s="30">
        <f t="shared" si="16"/>
        <v>83.333333333333329</v>
      </c>
      <c r="K30" s="30">
        <f t="shared" si="16"/>
        <v>83.333333333333329</v>
      </c>
      <c r="L30" s="30">
        <f t="shared" si="16"/>
        <v>83.333333333333329</v>
      </c>
      <c r="M30" s="30">
        <f t="shared" si="16"/>
        <v>83.333333333333329</v>
      </c>
      <c r="N30" s="30">
        <f t="shared" si="16"/>
        <v>83.333333333333329</v>
      </c>
      <c r="O30" s="33">
        <f>SUM(C30:N30)</f>
        <v>1666.6666666666661</v>
      </c>
    </row>
    <row r="31" spans="1:20" x14ac:dyDescent="0.35">
      <c r="A31" s="28" t="s">
        <v>14</v>
      </c>
      <c r="B31" s="66">
        <f t="shared" si="14"/>
        <v>0.16666666666666666</v>
      </c>
      <c r="C31" s="30">
        <f t="shared" ref="C31:C35" si="17">$B$29*$B31</f>
        <v>250</v>
      </c>
      <c r="D31" s="30">
        <f t="shared" si="15"/>
        <v>250</v>
      </c>
      <c r="E31" s="30">
        <f t="shared" si="15"/>
        <v>250</v>
      </c>
      <c r="F31" s="30">
        <f t="shared" si="15"/>
        <v>250</v>
      </c>
      <c r="G31" s="30">
        <f t="shared" ref="G31:N35" si="18">500*$B31</f>
        <v>83.333333333333329</v>
      </c>
      <c r="H31" s="30">
        <f t="shared" si="18"/>
        <v>83.333333333333329</v>
      </c>
      <c r="I31" s="30">
        <f t="shared" si="18"/>
        <v>83.333333333333329</v>
      </c>
      <c r="J31" s="30">
        <f t="shared" si="18"/>
        <v>83.333333333333329</v>
      </c>
      <c r="K31" s="30">
        <f t="shared" si="18"/>
        <v>83.333333333333329</v>
      </c>
      <c r="L31" s="30">
        <f t="shared" si="18"/>
        <v>83.333333333333329</v>
      </c>
      <c r="M31" s="30">
        <f t="shared" si="18"/>
        <v>83.333333333333329</v>
      </c>
      <c r="N31" s="30">
        <f t="shared" si="18"/>
        <v>83.333333333333329</v>
      </c>
      <c r="O31" s="33">
        <f t="shared" ref="O31:O35" si="19">SUM(C31:N31)</f>
        <v>1666.6666666666661</v>
      </c>
    </row>
    <row r="32" spans="1:20" x14ac:dyDescent="0.35">
      <c r="A32" s="28" t="s">
        <v>11</v>
      </c>
      <c r="B32" s="66">
        <f t="shared" si="14"/>
        <v>0.16666666666666666</v>
      </c>
      <c r="C32" s="30">
        <f t="shared" si="17"/>
        <v>250</v>
      </c>
      <c r="D32" s="30">
        <f t="shared" si="15"/>
        <v>250</v>
      </c>
      <c r="E32" s="30">
        <f t="shared" si="15"/>
        <v>250</v>
      </c>
      <c r="F32" s="30">
        <f t="shared" si="15"/>
        <v>250</v>
      </c>
      <c r="G32" s="30">
        <f t="shared" si="18"/>
        <v>83.333333333333329</v>
      </c>
      <c r="H32" s="30">
        <f t="shared" si="18"/>
        <v>83.333333333333329</v>
      </c>
      <c r="I32" s="30">
        <f t="shared" si="18"/>
        <v>83.333333333333329</v>
      </c>
      <c r="J32" s="30">
        <f t="shared" si="18"/>
        <v>83.333333333333329</v>
      </c>
      <c r="K32" s="30">
        <f t="shared" si="18"/>
        <v>83.333333333333329</v>
      </c>
      <c r="L32" s="30">
        <f t="shared" si="18"/>
        <v>83.333333333333329</v>
      </c>
      <c r="M32" s="30">
        <f t="shared" si="18"/>
        <v>83.333333333333329</v>
      </c>
      <c r="N32" s="30">
        <f t="shared" si="18"/>
        <v>83.333333333333329</v>
      </c>
      <c r="O32" s="33">
        <f t="shared" si="19"/>
        <v>1666.6666666666661</v>
      </c>
    </row>
    <row r="33" spans="1:15" x14ac:dyDescent="0.35">
      <c r="A33" s="28" t="s">
        <v>17</v>
      </c>
      <c r="B33" s="66">
        <f t="shared" si="14"/>
        <v>0.16666666666666666</v>
      </c>
      <c r="C33" s="30">
        <f t="shared" si="17"/>
        <v>250</v>
      </c>
      <c r="D33" s="30">
        <f t="shared" si="15"/>
        <v>250</v>
      </c>
      <c r="E33" s="30">
        <f t="shared" si="15"/>
        <v>250</v>
      </c>
      <c r="F33" s="30">
        <f t="shared" si="15"/>
        <v>250</v>
      </c>
      <c r="G33" s="30">
        <f t="shared" si="18"/>
        <v>83.333333333333329</v>
      </c>
      <c r="H33" s="30">
        <f t="shared" si="18"/>
        <v>83.333333333333329</v>
      </c>
      <c r="I33" s="30">
        <f t="shared" si="18"/>
        <v>83.333333333333329</v>
      </c>
      <c r="J33" s="30">
        <f t="shared" si="18"/>
        <v>83.333333333333329</v>
      </c>
      <c r="K33" s="30">
        <f t="shared" si="18"/>
        <v>83.333333333333329</v>
      </c>
      <c r="L33" s="30">
        <f t="shared" si="18"/>
        <v>83.333333333333329</v>
      </c>
      <c r="M33" s="30">
        <f t="shared" si="18"/>
        <v>83.333333333333329</v>
      </c>
      <c r="N33" s="30">
        <f t="shared" si="18"/>
        <v>83.333333333333329</v>
      </c>
      <c r="O33" s="33">
        <f t="shared" si="19"/>
        <v>1666.6666666666661</v>
      </c>
    </row>
    <row r="34" spans="1:15" x14ac:dyDescent="0.35">
      <c r="A34" s="28" t="s">
        <v>18</v>
      </c>
      <c r="B34" s="66">
        <f t="shared" si="14"/>
        <v>0.16666666666666666</v>
      </c>
      <c r="C34" s="30">
        <f t="shared" si="17"/>
        <v>250</v>
      </c>
      <c r="D34" s="30">
        <f t="shared" si="15"/>
        <v>250</v>
      </c>
      <c r="E34" s="30">
        <f t="shared" si="15"/>
        <v>250</v>
      </c>
      <c r="F34" s="30">
        <f t="shared" si="15"/>
        <v>250</v>
      </c>
      <c r="G34" s="30">
        <f t="shared" si="18"/>
        <v>83.333333333333329</v>
      </c>
      <c r="H34" s="30">
        <f t="shared" si="18"/>
        <v>83.333333333333329</v>
      </c>
      <c r="I34" s="30">
        <f t="shared" si="18"/>
        <v>83.333333333333329</v>
      </c>
      <c r="J34" s="30">
        <f t="shared" si="18"/>
        <v>83.333333333333329</v>
      </c>
      <c r="K34" s="30">
        <f t="shared" si="18"/>
        <v>83.333333333333329</v>
      </c>
      <c r="L34" s="30">
        <f t="shared" si="18"/>
        <v>83.333333333333329</v>
      </c>
      <c r="M34" s="30">
        <f t="shared" si="18"/>
        <v>83.333333333333329</v>
      </c>
      <c r="N34" s="30">
        <f t="shared" si="18"/>
        <v>83.333333333333329</v>
      </c>
      <c r="O34" s="33">
        <f t="shared" si="19"/>
        <v>1666.6666666666661</v>
      </c>
    </row>
    <row r="35" spans="1:15" x14ac:dyDescent="0.35">
      <c r="A35" s="28" t="s">
        <v>19</v>
      </c>
      <c r="B35" s="66">
        <f t="shared" si="14"/>
        <v>0.16666666666666666</v>
      </c>
      <c r="C35" s="30">
        <f t="shared" si="17"/>
        <v>250</v>
      </c>
      <c r="D35" s="30">
        <f t="shared" si="15"/>
        <v>250</v>
      </c>
      <c r="E35" s="30">
        <f t="shared" si="15"/>
        <v>250</v>
      </c>
      <c r="F35" s="30">
        <f t="shared" si="15"/>
        <v>250</v>
      </c>
      <c r="G35" s="30">
        <f t="shared" si="18"/>
        <v>83.333333333333329</v>
      </c>
      <c r="H35" s="30">
        <f t="shared" si="18"/>
        <v>83.333333333333329</v>
      </c>
      <c r="I35" s="30">
        <f t="shared" si="18"/>
        <v>83.333333333333329</v>
      </c>
      <c r="J35" s="30">
        <f t="shared" si="18"/>
        <v>83.333333333333329</v>
      </c>
      <c r="K35" s="30">
        <f t="shared" si="18"/>
        <v>83.333333333333329</v>
      </c>
      <c r="L35" s="30">
        <f t="shared" si="18"/>
        <v>83.333333333333329</v>
      </c>
      <c r="M35" s="30">
        <f t="shared" si="18"/>
        <v>83.333333333333329</v>
      </c>
      <c r="N35" s="30">
        <f t="shared" si="18"/>
        <v>83.333333333333329</v>
      </c>
      <c r="O35" s="33">
        <f t="shared" si="19"/>
        <v>1666.6666666666661</v>
      </c>
    </row>
    <row r="36" spans="1:15" ht="15" thickBot="1" x14ac:dyDescent="0.4">
      <c r="A36" s="58"/>
      <c r="B36" s="59"/>
      <c r="C36" s="60">
        <f>SUM(C30:C35)</f>
        <v>1500</v>
      </c>
      <c r="D36" s="60">
        <f t="shared" ref="D36:O36" si="20">SUM(D30:D35)</f>
        <v>1500</v>
      </c>
      <c r="E36" s="60">
        <f t="shared" si="20"/>
        <v>1500</v>
      </c>
      <c r="F36" s="60">
        <f t="shared" si="20"/>
        <v>1500</v>
      </c>
      <c r="G36" s="60">
        <f t="shared" si="20"/>
        <v>499.99999999999994</v>
      </c>
      <c r="H36" s="60">
        <f t="shared" si="20"/>
        <v>499.99999999999994</v>
      </c>
      <c r="I36" s="60">
        <f t="shared" si="20"/>
        <v>499.99999999999994</v>
      </c>
      <c r="J36" s="60">
        <f t="shared" si="20"/>
        <v>499.99999999999994</v>
      </c>
      <c r="K36" s="60">
        <f t="shared" si="20"/>
        <v>499.99999999999994</v>
      </c>
      <c r="L36" s="60">
        <f t="shared" si="20"/>
        <v>499.99999999999994</v>
      </c>
      <c r="M36" s="60">
        <f t="shared" si="20"/>
        <v>499.99999999999994</v>
      </c>
      <c r="N36" s="60">
        <f t="shared" si="20"/>
        <v>499.99999999999994</v>
      </c>
      <c r="O36" s="61">
        <f t="shared" si="20"/>
        <v>9999.9999999999964</v>
      </c>
    </row>
    <row r="37" spans="1:15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 M1 Digital</vt:lpstr>
      <vt:lpstr>Summary - Magazine M1</vt:lpstr>
      <vt:lpstr>Revenue - Digital</vt:lpstr>
      <vt:lpstr>M1 Staff costs</vt:lpstr>
      <vt:lpstr>M1 Freelancers</vt:lpstr>
      <vt:lpstr>M2 Staff costs </vt:lpstr>
      <vt:lpstr>M2 Freelancers</vt:lpstr>
      <vt:lpstr>M3 Staff costs</vt:lpstr>
      <vt:lpstr>M3 Freelancers</vt:lpstr>
      <vt:lpstr>OH</vt:lpstr>
      <vt:lpstr>OH Freelancer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Altincik</dc:creator>
  <cp:lastModifiedBy>Oliver Yeoman</cp:lastModifiedBy>
  <dcterms:created xsi:type="dcterms:W3CDTF">2025-12-17T15:33:46Z</dcterms:created>
  <dcterms:modified xsi:type="dcterms:W3CDTF">2025-12-23T13:18:32Z</dcterms:modified>
</cp:coreProperties>
</file>